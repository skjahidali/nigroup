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2.Pathorghata\Irish\"/>
    </mc:Choice>
  </mc:AlternateContent>
  <xr:revisionPtr revIDLastSave="0" documentId="13_ncr:1_{03DE2DF6-CADC-4DB7-92FC-C38478B34E9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ster Shedul Final" sheetId="14" r:id="rId1"/>
    <sheet name="Summaray" sheetId="8" r:id="rId2"/>
    <sheet name="3173" sheetId="9" r:id="rId3"/>
    <sheet name="Only Think" sheetId="17" r:id="rId4"/>
  </sheets>
  <definedNames>
    <definedName name="_xlnm._FilterDatabase" localSheetId="0" hidden="1">'Master Shedul Final'!$B$2:$V$98</definedName>
    <definedName name="_xlnm._FilterDatabase" localSheetId="3" hidden="1">'Only Think'!$B$2:$R$10</definedName>
    <definedName name="_xlnm.Print_Area" localSheetId="0">'Master Shedul Final'!$A$1:$V$96</definedName>
    <definedName name="_xlnm.Print_Area" localSheetId="3">'Only Think'!$A$1:$O$10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96" i="14" l="1"/>
  <c r="M96" i="14" l="1"/>
  <c r="I96" i="14"/>
  <c r="J96" i="14"/>
  <c r="K96" i="14"/>
  <c r="L96" i="14"/>
  <c r="L97" i="14" s="1"/>
  <c r="T96" i="14"/>
  <c r="U96" i="14"/>
  <c r="V96" i="14"/>
  <c r="H96" i="14"/>
  <c r="J97" i="14"/>
  <c r="R10" i="17"/>
  <c r="Q10" i="17"/>
  <c r="P10" i="17"/>
  <c r="I10" i="17"/>
  <c r="H10" i="17"/>
  <c r="N9" i="17"/>
  <c r="O9" i="17" s="1"/>
  <c r="N8" i="17"/>
  <c r="O8" i="17" s="1"/>
  <c r="N7" i="17"/>
  <c r="O7" i="17" s="1"/>
  <c r="N6" i="17"/>
  <c r="O6" i="17" s="1"/>
  <c r="N5" i="17"/>
  <c r="O5" i="17" s="1"/>
  <c r="N4" i="17"/>
  <c r="O4" i="17" s="1"/>
  <c r="L3" i="17"/>
  <c r="L10" i="17" s="1"/>
  <c r="M10" i="17"/>
  <c r="K10" i="17"/>
  <c r="O42" i="14"/>
  <c r="O41" i="14"/>
  <c r="L98" i="14" l="1"/>
  <c r="J10" i="17"/>
  <c r="N3" i="17"/>
  <c r="O3" i="17" s="1"/>
  <c r="O10" i="17" s="1"/>
  <c r="R95" i="14"/>
  <c r="S95" i="14" s="1"/>
  <c r="R94" i="14"/>
  <c r="S94" i="14" s="1"/>
  <c r="R93" i="14"/>
  <c r="S93" i="14" s="1"/>
  <c r="R92" i="14"/>
  <c r="S92" i="14" s="1"/>
  <c r="R91" i="14"/>
  <c r="S91" i="14" s="1"/>
  <c r="R90" i="14"/>
  <c r="S90" i="14" s="1"/>
  <c r="S86" i="14"/>
  <c r="S85" i="14"/>
  <c r="R84" i="14"/>
  <c r="S84" i="14" s="1"/>
  <c r="R78" i="14"/>
  <c r="S78" i="14" s="1"/>
  <c r="R80" i="14"/>
  <c r="S80" i="14" s="1"/>
  <c r="R79" i="14"/>
  <c r="S79" i="14" s="1"/>
  <c r="R83" i="14"/>
  <c r="S83" i="14" s="1"/>
  <c r="R82" i="14"/>
  <c r="S82" i="14" s="1"/>
  <c r="R81" i="14"/>
  <c r="S81" i="14" s="1"/>
  <c r="R77" i="14"/>
  <c r="S77" i="14" s="1"/>
  <c r="R76" i="14"/>
  <c r="S76" i="14" s="1"/>
  <c r="R75" i="14"/>
  <c r="S75" i="14" s="1"/>
  <c r="R65" i="14"/>
  <c r="S65" i="14" s="1"/>
  <c r="N72" i="14"/>
  <c r="R72" i="14" s="1"/>
  <c r="S72" i="14" s="1"/>
  <c r="R71" i="14"/>
  <c r="S71" i="14" s="1"/>
  <c r="R70" i="14"/>
  <c r="S70" i="14" s="1"/>
  <c r="N69" i="14"/>
  <c r="R69" i="14" s="1"/>
  <c r="S69" i="14" s="1"/>
  <c r="N68" i="14"/>
  <c r="R68" i="14" s="1"/>
  <c r="S68" i="14" s="1"/>
  <c r="N67" i="14"/>
  <c r="R67" i="14" s="1"/>
  <c r="S67" i="14" s="1"/>
  <c r="N66" i="14"/>
  <c r="R66" i="14" s="1"/>
  <c r="S66" i="14" s="1"/>
  <c r="R74" i="14"/>
  <c r="S74" i="14" s="1"/>
  <c r="P73" i="14"/>
  <c r="R73" i="14" s="1"/>
  <c r="S73" i="14" s="1"/>
  <c r="R64" i="14"/>
  <c r="S64" i="14" s="1"/>
  <c r="N63" i="14"/>
  <c r="R63" i="14" s="1"/>
  <c r="S63" i="14" s="1"/>
  <c r="R62" i="14"/>
  <c r="S62" i="14" s="1"/>
  <c r="R60" i="14"/>
  <c r="S60" i="14" s="1"/>
  <c r="Q61" i="14"/>
  <c r="Q96" i="14" s="1"/>
  <c r="P61" i="14"/>
  <c r="N61" i="14"/>
  <c r="N59" i="14"/>
  <c r="R59" i="14" s="1"/>
  <c r="S59" i="14" s="1"/>
  <c r="N58" i="14"/>
  <c r="R58" i="14" s="1"/>
  <c r="S58" i="14" s="1"/>
  <c r="R57" i="14"/>
  <c r="S57" i="14" s="1"/>
  <c r="R56" i="14"/>
  <c r="S56" i="14" s="1"/>
  <c r="R55" i="14"/>
  <c r="S55" i="14" s="1"/>
  <c r="O55" i="14"/>
  <c r="R54" i="14"/>
  <c r="S54" i="14" s="1"/>
  <c r="O54" i="14"/>
  <c r="R53" i="14"/>
  <c r="S53" i="14" s="1"/>
  <c r="O53" i="14"/>
  <c r="R52" i="14"/>
  <c r="S52" i="14" s="1"/>
  <c r="O52" i="14"/>
  <c r="R51" i="14"/>
  <c r="S51" i="14" s="1"/>
  <c r="O51" i="14"/>
  <c r="R50" i="14"/>
  <c r="S50" i="14" s="1"/>
  <c r="O50" i="14"/>
  <c r="R49" i="14"/>
  <c r="S49" i="14" s="1"/>
  <c r="O49" i="14"/>
  <c r="R48" i="14"/>
  <c r="S48" i="14" s="1"/>
  <c r="O48" i="14"/>
  <c r="R47" i="14"/>
  <c r="S47" i="14" s="1"/>
  <c r="O47" i="14"/>
  <c r="R46" i="14"/>
  <c r="S46" i="14" s="1"/>
  <c r="O46" i="14"/>
  <c r="R45" i="14"/>
  <c r="S45" i="14" s="1"/>
  <c r="O45" i="14"/>
  <c r="N44" i="14"/>
  <c r="R44" i="14" s="1"/>
  <c r="S44" i="14" s="1"/>
  <c r="N43" i="14"/>
  <c r="R43" i="14" s="1"/>
  <c r="S43" i="14" s="1"/>
  <c r="N42" i="14"/>
  <c r="R42" i="14" s="1"/>
  <c r="S42" i="14" s="1"/>
  <c r="N41" i="14"/>
  <c r="S40" i="14"/>
  <c r="R39" i="14"/>
  <c r="S39" i="14" s="1"/>
  <c r="O39" i="14"/>
  <c r="O96" i="14" s="1"/>
  <c r="R38" i="14"/>
  <c r="H35" i="14"/>
  <c r="N34" i="14"/>
  <c r="R34" i="14" s="1"/>
  <c r="S34" i="14" s="1"/>
  <c r="Q33" i="14"/>
  <c r="Q35" i="14" s="1"/>
  <c r="P33" i="14"/>
  <c r="P35" i="14" s="1"/>
  <c r="O33" i="14"/>
  <c r="N33" i="14"/>
  <c r="N32" i="14"/>
  <c r="R32" i="14" s="1"/>
  <c r="S32" i="14" s="1"/>
  <c r="N31" i="14"/>
  <c r="R30" i="14"/>
  <c r="S30" i="14" s="1"/>
  <c r="R29" i="14"/>
  <c r="S29" i="14" s="1"/>
  <c r="R27" i="14"/>
  <c r="S27" i="14" s="1"/>
  <c r="O27" i="14"/>
  <c r="R26" i="14"/>
  <c r="S26" i="14" s="1"/>
  <c r="O26" i="14"/>
  <c r="R25" i="14"/>
  <c r="S25" i="14" s="1"/>
  <c r="O25" i="14"/>
  <c r="I25" i="14"/>
  <c r="R24" i="14"/>
  <c r="S24" i="14" s="1"/>
  <c r="O24" i="14"/>
  <c r="S23" i="14"/>
  <c r="R22" i="14"/>
  <c r="S22" i="14" s="1"/>
  <c r="R21" i="14"/>
  <c r="S21" i="14" s="1"/>
  <c r="O21" i="14"/>
  <c r="R20" i="14"/>
  <c r="S20" i="14" s="1"/>
  <c r="O20" i="14"/>
  <c r="R19" i="14"/>
  <c r="S19" i="14" s="1"/>
  <c r="R18" i="14"/>
  <c r="S18" i="14" s="1"/>
  <c r="R17" i="14"/>
  <c r="S17" i="14" s="1"/>
  <c r="R16" i="14"/>
  <c r="S16" i="14" s="1"/>
  <c r="R15" i="14"/>
  <c r="S15" i="14" s="1"/>
  <c r="R14" i="14"/>
  <c r="S14" i="14" s="1"/>
  <c r="R13" i="14"/>
  <c r="S13" i="14" s="1"/>
  <c r="R12" i="14"/>
  <c r="S12" i="14" s="1"/>
  <c r="I12" i="14"/>
  <c r="I35" i="14" s="1"/>
  <c r="S11" i="14"/>
  <c r="S10" i="14"/>
  <c r="O10" i="14"/>
  <c r="R9" i="14"/>
  <c r="R7" i="14"/>
  <c r="R6" i="14"/>
  <c r="S6" i="14" s="1"/>
  <c r="R5" i="14"/>
  <c r="S5" i="14" s="1"/>
  <c r="R4" i="14"/>
  <c r="S4" i="14" s="1"/>
  <c r="R3" i="14"/>
  <c r="S3" i="14" s="1"/>
  <c r="K5" i="9"/>
  <c r="K6" i="9"/>
  <c r="K4" i="9"/>
  <c r="K9" i="9"/>
  <c r="K10" i="9"/>
  <c r="K11" i="9"/>
  <c r="K12" i="9"/>
  <c r="K13" i="9"/>
  <c r="K14" i="9"/>
  <c r="K8" i="9"/>
  <c r="I8" i="9"/>
  <c r="I9" i="9"/>
  <c r="I10" i="9"/>
  <c r="I11" i="9"/>
  <c r="I12" i="9"/>
  <c r="I13" i="9"/>
  <c r="I4" i="9"/>
  <c r="I5" i="9"/>
  <c r="I6" i="9"/>
  <c r="D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D10" i="8"/>
  <c r="C10" i="8"/>
  <c r="E9" i="8"/>
  <c r="E8" i="8"/>
  <c r="E7" i="8"/>
  <c r="E6" i="8"/>
  <c r="E5" i="8"/>
  <c r="P97" i="14" l="1"/>
  <c r="S38" i="14"/>
  <c r="N96" i="14"/>
  <c r="N97" i="14" s="1"/>
  <c r="R33" i="14"/>
  <c r="S33" i="14" s="1"/>
  <c r="O35" i="14"/>
  <c r="N35" i="14"/>
  <c r="N10" i="17"/>
  <c r="R31" i="14"/>
  <c r="S31" i="14" s="1"/>
  <c r="R61" i="14"/>
  <c r="S61" i="14" s="1"/>
  <c r="R41" i="14"/>
  <c r="S41" i="14" s="1"/>
  <c r="E10" i="8"/>
  <c r="E47" i="8"/>
  <c r="R96" i="14" l="1"/>
  <c r="S96" i="14"/>
  <c r="P98" i="14"/>
  <c r="R35" i="14"/>
  <c r="S35" i="14" s="1"/>
</calcChain>
</file>

<file path=xl/sharedStrings.xml><?xml version="1.0" encoding="utf-8"?>
<sst xmlns="http://schemas.openxmlformats.org/spreadsheetml/2006/main" count="463" uniqueCount="228">
  <si>
    <t>3174/3809</t>
  </si>
  <si>
    <t>Deed Sl No</t>
  </si>
  <si>
    <t>Registration Date</t>
  </si>
  <si>
    <t>Deed No</t>
  </si>
  <si>
    <t>Vendor Name</t>
  </si>
  <si>
    <t>Claint Sl No</t>
  </si>
  <si>
    <t>Purchaser Name</t>
  </si>
  <si>
    <t xml:space="preserve">Purchaser New Khatian </t>
  </si>
  <si>
    <t>L.R Record</t>
  </si>
  <si>
    <t>24.09.22</t>
  </si>
  <si>
    <t>Jasimuddin Mandal</t>
  </si>
  <si>
    <t>31.03.23</t>
  </si>
  <si>
    <t>5144/23</t>
  </si>
  <si>
    <t>Promised Land</t>
  </si>
  <si>
    <t>12.09.23</t>
  </si>
  <si>
    <t>13206/23</t>
  </si>
  <si>
    <t>Badal Karmakar</t>
  </si>
  <si>
    <t>1.a</t>
  </si>
  <si>
    <t xml:space="preserve">Maidul Islam </t>
  </si>
  <si>
    <t>Niranjan Karmakar</t>
  </si>
  <si>
    <t>Sabnam Mustari</t>
  </si>
  <si>
    <t xml:space="preserve">Sekh Alauddin </t>
  </si>
  <si>
    <t>6,7</t>
  </si>
  <si>
    <t>12.09.23 16.02.24</t>
  </si>
  <si>
    <t>13206/23 2101/24</t>
  </si>
  <si>
    <t>Sritanu Jana</t>
  </si>
  <si>
    <t>6,7,8</t>
  </si>
  <si>
    <t>12.09.23 16.02.24 27.08.24</t>
  </si>
  <si>
    <t>13206/23 2101/24 13391/24</t>
  </si>
  <si>
    <t>Shirsha Chowdhury</t>
  </si>
  <si>
    <t>16.02.24</t>
  </si>
  <si>
    <t>2101/24</t>
  </si>
  <si>
    <t>Tabassum Haque</t>
  </si>
  <si>
    <t>01.10.24</t>
  </si>
  <si>
    <t>15180/24</t>
  </si>
  <si>
    <t>Musrail Rahaman</t>
  </si>
  <si>
    <t>19.09.25</t>
  </si>
  <si>
    <t>14082/25</t>
  </si>
  <si>
    <t>Jalaluddin Molla</t>
  </si>
  <si>
    <t>Hossain Md Soukat Ali</t>
  </si>
  <si>
    <t>Total Land</t>
  </si>
  <si>
    <t>Parking</t>
  </si>
  <si>
    <t>BHK</t>
  </si>
  <si>
    <t>SQFT</t>
  </si>
  <si>
    <t>15760/22</t>
  </si>
  <si>
    <t>Prasenjit Karmakar</t>
  </si>
  <si>
    <t>15761/22</t>
  </si>
  <si>
    <t>Matual Mondal
Asrof Ali</t>
  </si>
  <si>
    <t>2BHK</t>
  </si>
  <si>
    <t>-</t>
  </si>
  <si>
    <t>Ichhahaque Golder</t>
  </si>
  <si>
    <t>3BHK</t>
  </si>
  <si>
    <t>09.06.25</t>
  </si>
  <si>
    <t>I-8012/25</t>
  </si>
  <si>
    <t>Monira Akhter Banu</t>
  </si>
  <si>
    <t>Imran Ali</t>
  </si>
  <si>
    <t>Aminur Rahaman</t>
  </si>
  <si>
    <t>11.07.25</t>
  </si>
  <si>
    <t>I-9879/25</t>
  </si>
  <si>
    <t>Adil Faiz</t>
  </si>
  <si>
    <t>21.08.25</t>
  </si>
  <si>
    <t>12201/25</t>
  </si>
  <si>
    <t>Regina Parveen</t>
  </si>
  <si>
    <t>Ahmad Raza</t>
  </si>
  <si>
    <t>Shabnam Mostari</t>
  </si>
  <si>
    <t>12202/25</t>
  </si>
  <si>
    <t>Shamsul Haque</t>
  </si>
  <si>
    <t>Razia Haque</t>
  </si>
  <si>
    <t xml:space="preserve">Mohammed Rafat sayeed </t>
  </si>
  <si>
    <t>Tazeen Shadan</t>
  </si>
  <si>
    <t>Mobarek Molla</t>
  </si>
  <si>
    <t>Mustakin Ahamed</t>
  </si>
  <si>
    <t>10.12.25</t>
  </si>
  <si>
    <t>17896/25</t>
  </si>
  <si>
    <t>Bahadur Ali Mondal</t>
  </si>
  <si>
    <t>Rojina Pervin</t>
  </si>
  <si>
    <t xml:space="preserve">Sk Sahim Uddin </t>
  </si>
  <si>
    <t>17897/25</t>
  </si>
  <si>
    <t>20.a</t>
  </si>
  <si>
    <t>THINK REAL ESTATE</t>
  </si>
  <si>
    <t>20.b</t>
  </si>
  <si>
    <t>17898/25</t>
  </si>
  <si>
    <t>RAJINA PRAVIN</t>
  </si>
  <si>
    <t>SABINA KHATUN</t>
  </si>
  <si>
    <t>UNJERA BANU</t>
  </si>
  <si>
    <t>SHAMSUL HAQUE</t>
  </si>
  <si>
    <t>MALEK HASSAIN</t>
  </si>
  <si>
    <t>SOHEL AHMED</t>
  </si>
  <si>
    <t>17899/25</t>
  </si>
  <si>
    <t>20.c</t>
  </si>
  <si>
    <t>FARHANAZ BEGUM</t>
  </si>
  <si>
    <t>1BHK</t>
  </si>
  <si>
    <t>MD MONIRUL ISLAM</t>
  </si>
  <si>
    <t xml:space="preserve">MOLLA SARIFUDDIN </t>
  </si>
  <si>
    <t>SHAHNAZ PERVEEN</t>
  </si>
  <si>
    <t>MD ZAKARIA</t>
  </si>
  <si>
    <t>YASIN MALLICK</t>
  </si>
  <si>
    <t>ASADUL MALLICK</t>
  </si>
  <si>
    <t xml:space="preserve">ARIFUL HAQUE TARAFDAR </t>
  </si>
  <si>
    <t>KH MASUDA KHANAM</t>
  </si>
  <si>
    <t>09.10.21</t>
  </si>
  <si>
    <t>13190/21</t>
  </si>
  <si>
    <t>Shankari Mondal</t>
  </si>
  <si>
    <t>Matual Mondal</t>
  </si>
  <si>
    <t>Sujata Mondal</t>
  </si>
  <si>
    <t>Purnima Mondal</t>
  </si>
  <si>
    <t>Asrof Ali</t>
  </si>
  <si>
    <t>Debi Rani Mondal</t>
  </si>
  <si>
    <t>28.07.23</t>
  </si>
  <si>
    <t>10611/23</t>
  </si>
  <si>
    <t>Asraf Ali</t>
  </si>
  <si>
    <t>Jharna Debnath</t>
  </si>
  <si>
    <t>Mrityunjoy Dev</t>
  </si>
  <si>
    <t>Kakali Das</t>
  </si>
  <si>
    <t>Dipaly Roy</t>
  </si>
  <si>
    <t>Sanjit Pal</t>
  </si>
  <si>
    <t>Tapos Pal</t>
  </si>
  <si>
    <t>Dag-3171 Purchase Deed Area DEC</t>
  </si>
  <si>
    <t xml:space="preserve"> Dag-3174/3809 Purchase Deed Area DEC</t>
  </si>
  <si>
    <t>Dag-3174 Purchase Deed Area DEC</t>
  </si>
  <si>
    <t>Grand Total Dec</t>
  </si>
  <si>
    <t xml:space="preserve">Total Kata </t>
  </si>
  <si>
    <t>AZAD MD SAIFUL HAQUE</t>
  </si>
  <si>
    <t>SAKINA BEGUM</t>
  </si>
  <si>
    <t>ISRAIL MANDAL</t>
  </si>
  <si>
    <t>Flat Land Owner</t>
  </si>
  <si>
    <t>PATHORGHATA</t>
  </si>
  <si>
    <t>AS PER LR PORCHA</t>
  </si>
  <si>
    <t>SL. NO.</t>
  </si>
  <si>
    <t>DAG NO.</t>
  </si>
  <si>
    <t>TOTAL AREA</t>
  </si>
  <si>
    <t>AREA (DEC)</t>
  </si>
  <si>
    <t>AREA (KATHA)</t>
  </si>
  <si>
    <t xml:space="preserve">TOTAL = </t>
  </si>
  <si>
    <t>AS PER DEED</t>
  </si>
  <si>
    <t>15760/22
15761/22</t>
  </si>
  <si>
    <t>13206/2023</t>
  </si>
  <si>
    <t>Deed-4</t>
  </si>
  <si>
    <t>2101/2024</t>
  </si>
  <si>
    <t>13391/24</t>
  </si>
  <si>
    <t>Deed-6</t>
  </si>
  <si>
    <t>15180/2024</t>
  </si>
  <si>
    <t xml:space="preserve">Rupali Parvin </t>
  </si>
  <si>
    <t>J.V</t>
  </si>
  <si>
    <t xml:space="preserve">MASUMA KHATUN </t>
  </si>
  <si>
    <t>Rupali Parvin</t>
  </si>
  <si>
    <t>Sonali Parvin</t>
  </si>
  <si>
    <t>Emili Parvin</t>
  </si>
  <si>
    <t>Deed-7</t>
  </si>
  <si>
    <t>Deed-8</t>
  </si>
  <si>
    <t>Deed-9</t>
  </si>
  <si>
    <t>Mother Deed</t>
  </si>
  <si>
    <t xml:space="preserve"> 15761/22</t>
  </si>
  <si>
    <t>Ruma Naskar</t>
  </si>
  <si>
    <t>Sahadeb Karmakar</t>
  </si>
  <si>
    <t>Mira Karmakar</t>
  </si>
  <si>
    <t>Namita Karmakar</t>
  </si>
  <si>
    <t>3173/3808</t>
  </si>
  <si>
    <t>Deed-2,3</t>
  </si>
  <si>
    <t>Deed-14</t>
  </si>
  <si>
    <t>Deed-15</t>
  </si>
  <si>
    <t>Deed-</t>
  </si>
  <si>
    <t>/2026</t>
  </si>
  <si>
    <t>DAG-</t>
  </si>
  <si>
    <t>Sl No</t>
  </si>
  <si>
    <t>Name</t>
  </si>
  <si>
    <t>Father Name</t>
  </si>
  <si>
    <t>Share</t>
  </si>
  <si>
    <t>Dec</t>
  </si>
  <si>
    <t>Total Dec</t>
  </si>
  <si>
    <t>Kata</t>
  </si>
  <si>
    <t>Rate</t>
  </si>
  <si>
    <t>Amount</t>
  </si>
  <si>
    <t>Bilat ali</t>
  </si>
  <si>
    <t>Rajob Ali</t>
  </si>
  <si>
    <t>S1</t>
  </si>
  <si>
    <t>Jamat ali</t>
  </si>
  <si>
    <t>S2</t>
  </si>
  <si>
    <t xml:space="preserve">Saidul Molla                             </t>
  </si>
  <si>
    <t xml:space="preserve">Earun Bibi                                    </t>
  </si>
  <si>
    <t>D1</t>
  </si>
  <si>
    <t xml:space="preserve">Sapia Bibi Chofera Bibi                </t>
  </si>
  <si>
    <t>D2</t>
  </si>
  <si>
    <t xml:space="preserve">Parijan Bibi                                 </t>
  </si>
  <si>
    <t>D3</t>
  </si>
  <si>
    <t xml:space="preserve">Hiramoti Bibi alais Fojila             </t>
  </si>
  <si>
    <t>D4</t>
  </si>
  <si>
    <t xml:space="preserve">Sahida Bibi                                 </t>
  </si>
  <si>
    <t>D5</t>
  </si>
  <si>
    <t>Total=</t>
  </si>
  <si>
    <t>Samsul Sk</t>
  </si>
  <si>
    <t>40% J.V</t>
  </si>
  <si>
    <t xml:space="preserve">Tabassum Haque 
</t>
  </si>
  <si>
    <t xml:space="preserve">Musrail Rahaman 
</t>
  </si>
  <si>
    <t xml:space="preserve">Sekh Alauddin 
</t>
  </si>
  <si>
    <t xml:space="preserve">Sekh Alauddin 
</t>
  </si>
  <si>
    <t xml:space="preserve">Promised Land
</t>
  </si>
  <si>
    <t xml:space="preserve">Jasimuddin Mandal
</t>
  </si>
  <si>
    <t>20d</t>
  </si>
  <si>
    <t>20.d</t>
  </si>
  <si>
    <t>20.e</t>
  </si>
  <si>
    <t>20.f</t>
  </si>
  <si>
    <t>14765/25</t>
  </si>
  <si>
    <t>Emli Perveen
Sonali Perveen</t>
  </si>
  <si>
    <t>17.10.25</t>
  </si>
  <si>
    <t>20.02.26</t>
  </si>
  <si>
    <t>09.02.26</t>
  </si>
  <si>
    <t>2528/26</t>
  </si>
  <si>
    <t>2527/26</t>
  </si>
  <si>
    <t>1905/26</t>
  </si>
  <si>
    <t>1903/26</t>
  </si>
  <si>
    <t>1958/26</t>
  </si>
  <si>
    <t>1959/26</t>
  </si>
  <si>
    <t>1957/26</t>
  </si>
  <si>
    <t>1961/26</t>
  </si>
  <si>
    <t>1960/26</t>
  </si>
  <si>
    <t>Smt.Aliya Bibi Sekh</t>
  </si>
  <si>
    <t>J.V 40%</t>
  </si>
  <si>
    <t>24.04.26</t>
  </si>
  <si>
    <t>5090/26</t>
  </si>
  <si>
    <t>Sahida Bibi
Parijan Khan alias
Parijan Bibi</t>
  </si>
  <si>
    <t>Hena Firdaus</t>
  </si>
  <si>
    <t>MD Asif Ikbal</t>
  </si>
  <si>
    <t>MD Asraful Khan</t>
  </si>
  <si>
    <t>Dag-3173 Purchase Deed Area DEC</t>
  </si>
  <si>
    <t xml:space="preserve"> Dag-3173/3808 Purchase Deed Area DEC</t>
  </si>
  <si>
    <t>11.03.26</t>
  </si>
  <si>
    <t>3191/26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</si>
</sst>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0_);_(* \(#,##0.0000\);_(* &quot;-&quot;??_);_(@_)"/>
    <numFmt numFmtId="165" formatCode="_(* #,##0.0000_);_(* \(#,##0.0000\);_(* &quot;-&quot;????_);_(@_)"/>
    <numFmt numFmtId="166" formatCode="0.000"/>
    <numFmt numFmtId="167" formatCode="0.0000"/>
    <numFmt numFmtId="168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2"/>
      <color rgb="FF000000"/>
      <name val="Trebuchet MS"/>
      <family val="2"/>
    </font>
    <font>
      <b/>
      <sz val="12"/>
      <name val="Trebuchet MS"/>
      <family val="2"/>
    </font>
    <font>
      <sz val="12"/>
      <color rgb="FFFF0000"/>
      <name val="Trebuchet MS"/>
      <family val="2"/>
    </font>
    <font>
      <sz val="12"/>
      <name val="Trebuchet MS"/>
      <family val="2"/>
    </font>
    <font>
      <b/>
      <sz val="12"/>
      <color rgb="FF000000"/>
      <name val="Trebuchet MS"/>
      <family val="2"/>
    </font>
    <font>
      <sz val="12"/>
      <color theme="1"/>
      <name val="Trebuchet MS"/>
      <family val="2"/>
    </font>
    <font>
      <b/>
      <sz val="12"/>
      <color theme="1"/>
      <name val="Trebuchet MS"/>
      <family val="2"/>
    </font>
    <font>
      <b/>
      <sz val="12"/>
      <color rgb="FFFF0000"/>
      <name val="Trebuchet MS"/>
      <family val="2"/>
    </font>
    <font>
      <b/>
      <sz val="10"/>
      <color rgb="FF000000"/>
      <name val="Calibri"/>
      <family val="1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0"/>
      <color rgb="FF000000"/>
      <name val="Calibri"/>
      <scheme val="minor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" fillId="0" borderId="0"/>
    <xf numFmtId="0" fontId="1" fillId="0" borderId="0"/>
    <xf numFmtId="43" fontId="16" fillId="0" borderId="0" applyFont="0" applyFill="0" applyBorder="0" applyAlignment="0" applyProtection="0"/>
  </cellStyleXfs>
  <cellXfs count="428">
    <xf numFmtId="0" fontId="0" fillId="0" borderId="0" xfId="0"/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43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1" applyNumberFormat="1" applyFont="1" applyFill="1" applyBorder="1" applyAlignment="1">
      <alignment horizontal="center" vertical="center" wrapText="1"/>
    </xf>
    <xf numFmtId="0" fontId="9" fillId="0" borderId="1" xfId="1" applyNumberFormat="1" applyFont="1" applyBorder="1" applyAlignment="1">
      <alignment horizontal="center" vertical="center" wrapText="1"/>
    </xf>
    <xf numFmtId="0" fontId="9" fillId="0" borderId="2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5" fillId="0" borderId="3" xfId="1" applyNumberFormat="1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13" fillId="0" borderId="0" xfId="0" applyFont="1"/>
    <xf numFmtId="4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1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1" applyNumberFormat="1" applyFont="1" applyFill="1" applyBorder="1" applyAlignment="1">
      <alignment horizontal="left" vertical="center"/>
    </xf>
    <xf numFmtId="167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 wrapText="1"/>
    </xf>
    <xf numFmtId="43" fontId="5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5" fillId="5" borderId="2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167" fontId="5" fillId="5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" xfId="0" applyFont="1" applyFill="1" applyBorder="1"/>
    <xf numFmtId="0" fontId="3" fillId="4" borderId="3" xfId="1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top"/>
    </xf>
    <xf numFmtId="0" fontId="18" fillId="0" borderId="17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19" fillId="7" borderId="1" xfId="4" applyFont="1" applyFill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/>
    </xf>
    <xf numFmtId="0" fontId="19" fillId="7" borderId="1" xfId="4" applyFont="1" applyFill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" fontId="5" fillId="2" borderId="2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3" fillId="4" borderId="18" xfId="1" applyNumberFormat="1" applyFont="1" applyFill="1" applyBorder="1" applyAlignment="1">
      <alignment horizontal="center" vertical="center" wrapText="1"/>
    </xf>
    <xf numFmtId="0" fontId="9" fillId="0" borderId="7" xfId="1" applyNumberFormat="1" applyFont="1" applyFill="1" applyBorder="1" applyAlignment="1">
      <alignment horizontal="center" vertical="center" wrapText="1"/>
    </xf>
    <xf numFmtId="0" fontId="9" fillId="0" borderId="14" xfId="1" applyNumberFormat="1" applyFont="1" applyFill="1" applyBorder="1" applyAlignment="1">
      <alignment horizontal="center" vertical="center" wrapText="1"/>
    </xf>
    <xf numFmtId="0" fontId="9" fillId="0" borderId="7" xfId="1" applyNumberFormat="1" applyFont="1" applyBorder="1" applyAlignment="1">
      <alignment horizontal="center" vertical="center" wrapText="1"/>
    </xf>
    <xf numFmtId="0" fontId="9" fillId="0" borderId="14" xfId="1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2" fillId="4" borderId="20" xfId="1" applyNumberFormat="1" applyFont="1" applyFill="1" applyBorder="1" applyAlignment="1">
      <alignment vertical="center" wrapText="1"/>
    </xf>
    <xf numFmtId="0" fontId="2" fillId="4" borderId="21" xfId="1" applyNumberFormat="1" applyFont="1" applyFill="1" applyBorder="1" applyAlignment="1">
      <alignment vertical="center" wrapText="1"/>
    </xf>
    <xf numFmtId="0" fontId="5" fillId="5" borderId="22" xfId="0" applyFont="1" applyFill="1" applyBorder="1" applyAlignment="1">
      <alignment horizontal="center" vertical="center"/>
    </xf>
    <xf numFmtId="0" fontId="5" fillId="5" borderId="5" xfId="1" applyNumberFormat="1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11" fillId="0" borderId="19" xfId="0" applyFont="1" applyBorder="1" applyAlignment="1">
      <alignment vertical="center"/>
    </xf>
    <xf numFmtId="0" fontId="3" fillId="4" borderId="6" xfId="1" applyNumberFormat="1" applyFont="1" applyFill="1" applyBorder="1" applyAlignment="1">
      <alignment horizontal="center" vertical="center" wrapText="1"/>
    </xf>
    <xf numFmtId="0" fontId="9" fillId="0" borderId="11" xfId="1" applyNumberFormat="1" applyFont="1" applyFill="1" applyBorder="1" applyAlignment="1">
      <alignment horizontal="center" vertical="center" wrapText="1"/>
    </xf>
    <xf numFmtId="0" fontId="9" fillId="0" borderId="5" xfId="1" applyNumberFormat="1" applyFont="1" applyFill="1" applyBorder="1" applyAlignment="1">
      <alignment horizontal="center" vertical="center" wrapText="1"/>
    </xf>
    <xf numFmtId="0" fontId="9" fillId="0" borderId="11" xfId="1" applyNumberFormat="1" applyFont="1" applyBorder="1" applyAlignment="1">
      <alignment horizontal="center" vertical="center" wrapText="1"/>
    </xf>
    <xf numFmtId="0" fontId="9" fillId="0" borderId="5" xfId="1" applyNumberFormat="1" applyFont="1" applyBorder="1" applyAlignment="1">
      <alignment horizontal="center" vertical="center" wrapText="1"/>
    </xf>
    <xf numFmtId="166" fontId="5" fillId="0" borderId="22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2" fillId="4" borderId="17" xfId="1" applyNumberFormat="1" applyFont="1" applyFill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167" fontId="11" fillId="0" borderId="15" xfId="0" applyNumberFormat="1" applyFont="1" applyBorder="1" applyAlignment="1">
      <alignment horizontal="center" vertical="center"/>
    </xf>
    <xf numFmtId="167" fontId="11" fillId="0" borderId="15" xfId="0" applyNumberFormat="1" applyFont="1" applyBorder="1" applyAlignment="1">
      <alignment vertical="center"/>
    </xf>
    <xf numFmtId="2" fontId="5" fillId="0" borderId="15" xfId="0" applyNumberFormat="1" applyFont="1" applyBorder="1" applyAlignment="1">
      <alignment vertical="center"/>
    </xf>
    <xf numFmtId="166" fontId="11" fillId="0" borderId="15" xfId="0" applyNumberFormat="1" applyFont="1" applyBorder="1" applyAlignment="1">
      <alignment horizontal="center" vertical="center"/>
    </xf>
    <xf numFmtId="1" fontId="11" fillId="0" borderId="15" xfId="0" applyNumberFormat="1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/>
    </xf>
    <xf numFmtId="43" fontId="2" fillId="4" borderId="28" xfId="0" applyNumberFormat="1" applyFont="1" applyFill="1" applyBorder="1" applyAlignment="1">
      <alignment horizontal="center" vertical="center" wrapText="1"/>
    </xf>
    <xf numFmtId="166" fontId="2" fillId="4" borderId="28" xfId="0" applyNumberFormat="1" applyFont="1" applyFill="1" applyBorder="1" applyAlignment="1">
      <alignment horizontal="center" vertical="center" wrapText="1"/>
    </xf>
    <xf numFmtId="1" fontId="2" fillId="4" borderId="28" xfId="0" applyNumberFormat="1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/>
    </xf>
    <xf numFmtId="0" fontId="2" fillId="4" borderId="30" xfId="1" applyNumberFormat="1" applyFont="1" applyFill="1" applyBorder="1" applyAlignment="1">
      <alignment vertical="center"/>
    </xf>
    <xf numFmtId="0" fontId="7" fillId="5" borderId="3" xfId="0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vertical="center" wrapText="1"/>
    </xf>
    <xf numFmtId="164" fontId="5" fillId="5" borderId="3" xfId="0" applyNumberFormat="1" applyFont="1" applyFill="1" applyBorder="1" applyAlignment="1">
      <alignment horizontal="center" vertical="center" wrapText="1"/>
    </xf>
    <xf numFmtId="165" fontId="5" fillId="5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5" fillId="5" borderId="25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5" borderId="10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2" fontId="18" fillId="0" borderId="1" xfId="4" applyNumberFormat="1" applyFont="1" applyBorder="1" applyAlignment="1">
      <alignment horizontal="center" vertical="center"/>
    </xf>
    <xf numFmtId="2" fontId="19" fillId="7" borderId="1" xfId="4" applyNumberFormat="1" applyFont="1" applyFill="1" applyBorder="1" applyAlignment="1">
      <alignment horizontal="center" vertical="center"/>
    </xf>
    <xf numFmtId="0" fontId="19" fillId="8" borderId="1" xfId="4" applyFont="1" applyFill="1" applyBorder="1" applyAlignment="1">
      <alignment horizontal="center" vertical="center" wrapText="1"/>
    </xf>
    <xf numFmtId="0" fontId="18" fillId="9" borderId="1" xfId="4" applyFont="1" applyFill="1" applyBorder="1" applyAlignment="1">
      <alignment horizontal="center" vertical="center"/>
    </xf>
    <xf numFmtId="43" fontId="18" fillId="9" borderId="1" xfId="4" applyNumberFormat="1" applyFont="1" applyFill="1" applyBorder="1" applyAlignment="1">
      <alignment horizontal="center" vertical="center"/>
    </xf>
    <xf numFmtId="43" fontId="20" fillId="9" borderId="1" xfId="4" applyNumberFormat="1" applyFont="1" applyFill="1" applyBorder="1" applyAlignment="1">
      <alignment horizontal="center" vertical="center"/>
    </xf>
    <xf numFmtId="167" fontId="19" fillId="8" borderId="1" xfId="4" applyNumberFormat="1" applyFont="1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35" xfId="0" applyFill="1" applyBorder="1"/>
    <xf numFmtId="0" fontId="23" fillId="3" borderId="35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/>
    <xf numFmtId="167" fontId="0" fillId="3" borderId="28" xfId="0" applyNumberFormat="1" applyFill="1" applyBorder="1"/>
    <xf numFmtId="2" fontId="0" fillId="3" borderId="28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7" xfId="0" applyFill="1" applyBorder="1"/>
    <xf numFmtId="0" fontId="23" fillId="3" borderId="37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167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21" fillId="10" borderId="2" xfId="0" applyFont="1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167" fontId="0" fillId="10" borderId="2" xfId="0" applyNumberFormat="1" applyFill="1" applyBorder="1" applyAlignment="1">
      <alignment horizontal="center" vertical="center"/>
    </xf>
    <xf numFmtId="2" fontId="0" fillId="10" borderId="2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7" fontId="9" fillId="5" borderId="2" xfId="0" applyNumberFormat="1" applyFont="1" applyFill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2" fillId="4" borderId="14" xfId="1" applyNumberFormat="1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0" fontId="5" fillId="11" borderId="43" xfId="0" applyFont="1" applyFill="1" applyBorder="1" applyAlignment="1">
      <alignment horizontal="center" vertical="center"/>
    </xf>
    <xf numFmtId="164" fontId="5" fillId="11" borderId="44" xfId="0" applyNumberFormat="1" applyFont="1" applyFill="1" applyBorder="1" applyAlignment="1">
      <alignment horizontal="center" vertical="center" wrapText="1"/>
    </xf>
    <xf numFmtId="43" fontId="5" fillId="11" borderId="44" xfId="0" applyNumberFormat="1" applyFont="1" applyFill="1" applyBorder="1" applyAlignment="1">
      <alignment horizontal="center" vertical="center" wrapText="1"/>
    </xf>
    <xf numFmtId="0" fontId="5" fillId="11" borderId="4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7" fontId="8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5" fillId="11" borderId="4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22" xfId="0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43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horizontal="center"/>
    </xf>
    <xf numFmtId="0" fontId="5" fillId="3" borderId="0" xfId="0" applyFont="1" applyFill="1"/>
    <xf numFmtId="16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67" fontId="8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1" xfId="1" applyNumberFormat="1" applyFont="1" applyFill="1" applyBorder="1" applyAlignment="1">
      <alignment horizontal="left" vertical="center"/>
    </xf>
    <xf numFmtId="167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43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6" fontId="2" fillId="3" borderId="2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right" vertical="center"/>
    </xf>
    <xf numFmtId="168" fontId="5" fillId="11" borderId="44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 wrapText="1"/>
    </xf>
    <xf numFmtId="0" fontId="7" fillId="11" borderId="51" xfId="0" applyFont="1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166" fontId="5" fillId="3" borderId="2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1" fillId="3" borderId="47" xfId="0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3" borderId="4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0" borderId="24" xfId="1" applyNumberFormat="1" applyFont="1" applyBorder="1" applyAlignment="1">
      <alignment horizontal="center" vertical="center" wrapText="1"/>
    </xf>
    <xf numFmtId="0" fontId="9" fillId="0" borderId="46" xfId="1" applyNumberFormat="1" applyFont="1" applyBorder="1" applyAlignment="1">
      <alignment horizontal="center" vertical="center" wrapText="1"/>
    </xf>
    <xf numFmtId="0" fontId="9" fillId="0" borderId="25" xfId="1" applyNumberFormat="1" applyFont="1" applyBorder="1" applyAlignment="1">
      <alignment horizontal="center" vertical="center" wrapText="1"/>
    </xf>
    <xf numFmtId="0" fontId="9" fillId="0" borderId="2" xfId="1" applyNumberFormat="1" applyFont="1" applyBorder="1" applyAlignment="1">
      <alignment horizontal="center" vertical="center" wrapText="1"/>
    </xf>
    <xf numFmtId="0" fontId="9" fillId="0" borderId="4" xfId="1" applyNumberFormat="1" applyFont="1" applyBorder="1" applyAlignment="1">
      <alignment horizontal="center" vertical="center" wrapText="1"/>
    </xf>
    <xf numFmtId="0" fontId="9" fillId="0" borderId="3" xfId="1" applyNumberFormat="1" applyFont="1" applyBorder="1" applyAlignment="1">
      <alignment horizontal="center" vertical="center" wrapText="1"/>
    </xf>
    <xf numFmtId="0" fontId="9" fillId="0" borderId="5" xfId="1" applyNumberFormat="1" applyFont="1" applyBorder="1" applyAlignment="1">
      <alignment horizontal="center" vertical="center" wrapText="1"/>
    </xf>
    <xf numFmtId="0" fontId="9" fillId="0" borderId="23" xfId="1" applyNumberFormat="1" applyFont="1" applyBorder="1" applyAlignment="1">
      <alignment horizontal="center" vertical="center" wrapText="1"/>
    </xf>
    <xf numFmtId="0" fontId="9" fillId="0" borderId="6" xfId="1" applyNumberFormat="1" applyFont="1" applyBorder="1" applyAlignment="1">
      <alignment horizontal="center" vertical="center" wrapText="1"/>
    </xf>
    <xf numFmtId="0" fontId="5" fillId="5" borderId="24" xfId="1" applyNumberFormat="1" applyFont="1" applyFill="1" applyBorder="1" applyAlignment="1">
      <alignment horizontal="center" vertical="center" wrapText="1"/>
    </xf>
    <xf numFmtId="0" fontId="5" fillId="5" borderId="46" xfId="1" applyNumberFormat="1" applyFont="1" applyFill="1" applyBorder="1" applyAlignment="1">
      <alignment horizontal="center" vertical="center" wrapText="1"/>
    </xf>
    <xf numFmtId="0" fontId="5" fillId="5" borderId="25" xfId="1" applyNumberFormat="1" applyFont="1" applyFill="1" applyBorder="1" applyAlignment="1">
      <alignment horizontal="center" vertical="center" wrapText="1"/>
    </xf>
    <xf numFmtId="0" fontId="5" fillId="5" borderId="5" xfId="1" applyNumberFormat="1" applyFont="1" applyFill="1" applyBorder="1" applyAlignment="1">
      <alignment horizontal="center" vertical="center" wrapText="1"/>
    </xf>
    <xf numFmtId="0" fontId="5" fillId="5" borderId="23" xfId="1" applyNumberFormat="1" applyFont="1" applyFill="1" applyBorder="1" applyAlignment="1">
      <alignment horizontal="center" vertical="center" wrapText="1"/>
    </xf>
    <xf numFmtId="0" fontId="5" fillId="5" borderId="6" xfId="1" applyNumberFormat="1" applyFont="1" applyFill="1" applyBorder="1" applyAlignment="1">
      <alignment horizontal="center" vertical="center" wrapText="1"/>
    </xf>
    <xf numFmtId="0" fontId="5" fillId="5" borderId="2" xfId="1" applyNumberFormat="1" applyFont="1" applyFill="1" applyBorder="1" applyAlignment="1">
      <alignment horizontal="center" vertical="center" wrapText="1"/>
    </xf>
    <xf numFmtId="0" fontId="5" fillId="5" borderId="4" xfId="1" applyNumberFormat="1" applyFont="1" applyFill="1" applyBorder="1" applyAlignment="1">
      <alignment horizontal="center" vertical="center" wrapText="1"/>
    </xf>
    <xf numFmtId="0" fontId="5" fillId="5" borderId="3" xfId="1" applyNumberFormat="1" applyFont="1" applyFill="1" applyBorder="1" applyAlignment="1">
      <alignment horizontal="center" vertical="center" wrapText="1"/>
    </xf>
    <xf numFmtId="0" fontId="9" fillId="5" borderId="47" xfId="0" applyFont="1" applyFill="1" applyBorder="1" applyAlignment="1">
      <alignment horizontal="center" vertical="center"/>
    </xf>
    <xf numFmtId="0" fontId="9" fillId="5" borderId="4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5" borderId="2" xfId="1" applyNumberFormat="1" applyFont="1" applyFill="1" applyBorder="1" applyAlignment="1">
      <alignment horizontal="left" vertical="center" wrapText="1"/>
    </xf>
    <xf numFmtId="0" fontId="9" fillId="5" borderId="3" xfId="1" applyNumberFormat="1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left" vertical="center" wrapText="1"/>
    </xf>
    <xf numFmtId="0" fontId="17" fillId="6" borderId="1" xfId="4" applyFont="1" applyFill="1" applyBorder="1" applyAlignment="1">
      <alignment horizontal="center" vertical="center"/>
    </xf>
    <xf numFmtId="0" fontId="17" fillId="7" borderId="1" xfId="4" applyFont="1" applyFill="1" applyBorder="1" applyAlignment="1">
      <alignment horizontal="center" vertical="center"/>
    </xf>
    <xf numFmtId="0" fontId="19" fillId="7" borderId="7" xfId="4" applyFont="1" applyFill="1" applyBorder="1" applyAlignment="1">
      <alignment horizontal="right" vertical="center"/>
    </xf>
    <xf numFmtId="0" fontId="19" fillId="7" borderId="9" xfId="4" applyFont="1" applyFill="1" applyBorder="1" applyAlignment="1">
      <alignment horizontal="right" vertical="center"/>
    </xf>
    <xf numFmtId="0" fontId="17" fillId="8" borderId="7" xfId="4" applyFont="1" applyFill="1" applyBorder="1" applyAlignment="1">
      <alignment horizontal="center" vertical="center"/>
    </xf>
    <xf numFmtId="0" fontId="17" fillId="8" borderId="8" xfId="4" applyFont="1" applyFill="1" applyBorder="1" applyAlignment="1">
      <alignment horizontal="center" vertical="center"/>
    </xf>
    <xf numFmtId="0" fontId="17" fillId="8" borderId="9" xfId="4" applyFont="1" applyFill="1" applyBorder="1" applyAlignment="1">
      <alignment horizontal="center" vertical="center"/>
    </xf>
    <xf numFmtId="0" fontId="18" fillId="9" borderId="2" xfId="4" applyFont="1" applyFill="1" applyBorder="1" applyAlignment="1">
      <alignment horizontal="center" vertical="center"/>
    </xf>
    <xf numFmtId="0" fontId="18" fillId="9" borderId="4" xfId="4" applyFont="1" applyFill="1" applyBorder="1" applyAlignment="1">
      <alignment horizontal="center" vertical="center"/>
    </xf>
    <xf numFmtId="0" fontId="18" fillId="9" borderId="3" xfId="4" applyFont="1" applyFill="1" applyBorder="1" applyAlignment="1">
      <alignment horizontal="center" vertical="center"/>
    </xf>
    <xf numFmtId="0" fontId="18" fillId="9" borderId="2" xfId="4" applyFont="1" applyFill="1" applyBorder="1" applyAlignment="1">
      <alignment horizontal="center" vertical="center" wrapText="1"/>
    </xf>
    <xf numFmtId="0" fontId="18" fillId="9" borderId="4" xfId="4" applyFont="1" applyFill="1" applyBorder="1" applyAlignment="1">
      <alignment horizontal="center" vertical="center" wrapText="1"/>
    </xf>
    <xf numFmtId="0" fontId="18" fillId="9" borderId="3" xfId="4" applyFont="1" applyFill="1" applyBorder="1" applyAlignment="1">
      <alignment horizontal="center" vertical="center" wrapText="1"/>
    </xf>
    <xf numFmtId="0" fontId="19" fillId="8" borderId="1" xfId="4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7" fillId="11" borderId="40" xfId="0" applyFont="1" applyFill="1" applyBorder="1" applyAlignment="1">
      <alignment horizontal="center" vertical="center" wrapText="1"/>
    </xf>
    <xf numFmtId="0" fontId="7" fillId="11" borderId="41" xfId="0" applyFont="1" applyFill="1" applyBorder="1" applyAlignment="1">
      <alignment horizontal="center" vertical="center" wrapText="1"/>
    </xf>
    <xf numFmtId="0" fontId="7" fillId="11" borderId="4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</cellXfs>
  <cellStyles count="6">
    <cellStyle name="Comma" xfId="1" builtinId="3"/>
    <cellStyle name="Comma 2" xfId="5" xr:uid="{4D43E344-C147-4AE6-BEF1-4C5069436081}"/>
    <cellStyle name="Normal" xfId="0" builtinId="0"/>
    <cellStyle name="Normal 2" xfId="3" xr:uid="{6F8065E6-2854-4F9A-B4FF-808784EEAC1A}"/>
    <cellStyle name="Normal 2 2" xfId="4" xr:uid="{D205B0B4-9ADC-4144-93CD-FD15C0B3F5D6}"/>
    <cellStyle name="Normal 3" xfId="2" xr:uid="{44C05086-D2B4-46A7-8754-B27278FC7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218C-E5E1-4F37-8E46-200AB96D93B5}">
  <dimension ref="A1:V165"/>
  <sheetViews>
    <sheetView view="pageBreakPreview" zoomScale="70" zoomScaleNormal="70" zoomScaleSheetLayoutView="70" zoomScalePageLayoutView="40" workbookViewId="0">
      <pane xSplit="3" ySplit="2" topLeftCell="D81" activePane="bottomRight" state="frozen"/>
      <selection pane="topRight" activeCell="D1" sqref="D1"/>
      <selection pane="bottomLeft" activeCell="A3" sqref="A3"/>
      <selection pane="bottomRight" activeCell="H89" sqref="H89"/>
    </sheetView>
  </sheetViews>
  <sheetFormatPr defaultRowHeight="14.4" x14ac:dyDescent="0.3"/>
  <cols>
    <col min="1" max="1" width="10" style="48" customWidth="1"/>
    <col min="2" max="2" width="11.77734375" style="49" customWidth="1"/>
    <col min="3" max="3" width="13.6640625" style="50" customWidth="1"/>
    <col min="4" max="4" width="28.44140625" style="51" customWidth="1"/>
    <col min="5" max="5" width="8.88671875" style="48"/>
    <col min="6" max="6" width="33.21875" style="52" customWidth="1"/>
    <col min="7" max="7" width="10.109375" customWidth="1"/>
    <col min="8" max="9" width="12.109375" style="48" customWidth="1"/>
    <col min="10" max="10" width="12.109375" style="64" hidden="1" customWidth="1"/>
    <col min="11" max="11" width="12.109375" style="48" hidden="1" customWidth="1"/>
    <col min="12" max="12" width="12.5546875" style="48" hidden="1" customWidth="1"/>
    <col min="13" max="13" width="12.109375" style="48" hidden="1" customWidth="1"/>
    <col min="14" max="14" width="12.109375" style="64" customWidth="1"/>
    <col min="15" max="15" width="12.109375" style="48" customWidth="1"/>
    <col min="16" max="16" width="12.5546875" style="48" customWidth="1"/>
    <col min="17" max="17" width="12.109375" style="48" customWidth="1"/>
    <col min="18" max="18" width="10.5546875" customWidth="1"/>
    <col min="19" max="19" width="11.21875" style="53" customWidth="1"/>
    <col min="20" max="20" width="11.21875" style="54" customWidth="1"/>
    <col min="21" max="21" width="13.6640625" style="55" customWidth="1"/>
    <col min="22" max="22" width="11.109375" style="108" customWidth="1"/>
  </cols>
  <sheetData>
    <row r="1" spans="1:22" ht="21" customHeight="1" thickBot="1" x14ac:dyDescent="0.35">
      <c r="A1" s="94" t="s">
        <v>151</v>
      </c>
    </row>
    <row r="2" spans="1:22" s="1" customFormat="1" ht="66" customHeight="1" thickBot="1" x14ac:dyDescent="0.35">
      <c r="A2" s="232" t="s">
        <v>1</v>
      </c>
      <c r="B2" s="132" t="s">
        <v>2</v>
      </c>
      <c r="C2" s="133" t="s">
        <v>3</v>
      </c>
      <c r="D2" s="170" t="s">
        <v>4</v>
      </c>
      <c r="E2" s="161" t="s">
        <v>5</v>
      </c>
      <c r="F2" s="162" t="s">
        <v>6</v>
      </c>
      <c r="G2" s="177" t="s">
        <v>7</v>
      </c>
      <c r="H2" s="164" t="s">
        <v>117</v>
      </c>
      <c r="I2" s="164" t="s">
        <v>8</v>
      </c>
      <c r="J2" s="164" t="s">
        <v>224</v>
      </c>
      <c r="K2" s="165" t="s">
        <v>8</v>
      </c>
      <c r="L2" s="164" t="s">
        <v>225</v>
      </c>
      <c r="M2" s="164" t="s">
        <v>8</v>
      </c>
      <c r="N2" s="164" t="s">
        <v>119</v>
      </c>
      <c r="O2" s="165" t="s">
        <v>8</v>
      </c>
      <c r="P2" s="164" t="s">
        <v>118</v>
      </c>
      <c r="Q2" s="164" t="s">
        <v>8</v>
      </c>
      <c r="R2" s="164" t="s">
        <v>120</v>
      </c>
      <c r="S2" s="166" t="s">
        <v>121</v>
      </c>
      <c r="T2" s="167" t="s">
        <v>42</v>
      </c>
      <c r="U2" s="168" t="s">
        <v>43</v>
      </c>
      <c r="V2" s="169" t="s">
        <v>41</v>
      </c>
    </row>
    <row r="3" spans="1:22" s="7" customFormat="1" ht="18" customHeight="1" x14ac:dyDescent="0.3">
      <c r="A3" s="381">
        <v>1</v>
      </c>
      <c r="B3" s="384" t="s">
        <v>100</v>
      </c>
      <c r="C3" s="387" t="s">
        <v>101</v>
      </c>
      <c r="D3" s="66" t="s">
        <v>102</v>
      </c>
      <c r="E3" s="404">
        <v>1</v>
      </c>
      <c r="F3" s="405" t="s">
        <v>103</v>
      </c>
      <c r="G3" s="171">
        <v>7365</v>
      </c>
      <c r="H3" s="172"/>
      <c r="I3" s="172"/>
      <c r="J3" s="173"/>
      <c r="K3" s="173"/>
      <c r="L3" s="173"/>
      <c r="M3" s="172"/>
      <c r="N3" s="173"/>
      <c r="O3" s="173"/>
      <c r="P3" s="173"/>
      <c r="Q3" s="173"/>
      <c r="R3" s="173">
        <f>H3+N3+P3</f>
        <v>0</v>
      </c>
      <c r="S3" s="174">
        <f>R3/1.65</f>
        <v>0</v>
      </c>
      <c r="T3" s="175"/>
      <c r="U3" s="175"/>
      <c r="V3" s="176"/>
    </row>
    <row r="4" spans="1:22" s="7" customFormat="1" ht="18" customHeight="1" x14ac:dyDescent="0.3">
      <c r="A4" s="382"/>
      <c r="B4" s="385"/>
      <c r="C4" s="388"/>
      <c r="D4" s="66" t="s">
        <v>104</v>
      </c>
      <c r="E4" s="400"/>
      <c r="F4" s="403"/>
      <c r="G4" s="72"/>
      <c r="H4" s="68"/>
      <c r="I4" s="68"/>
      <c r="J4" s="69"/>
      <c r="K4" s="69"/>
      <c r="L4" s="69"/>
      <c r="M4" s="68"/>
      <c r="N4" s="69"/>
      <c r="O4" s="69"/>
      <c r="P4" s="69"/>
      <c r="Q4" s="69"/>
      <c r="R4" s="69">
        <f t="shared" ref="R4:R9" si="0">H4+N4+P4</f>
        <v>0</v>
      </c>
      <c r="S4" s="70">
        <f t="shared" ref="S4:S6" si="1">R4/1.65</f>
        <v>0</v>
      </c>
      <c r="T4" s="71"/>
      <c r="U4" s="71"/>
      <c r="V4" s="134"/>
    </row>
    <row r="5" spans="1:22" s="7" customFormat="1" ht="18" customHeight="1" x14ac:dyDescent="0.3">
      <c r="A5" s="382"/>
      <c r="B5" s="385"/>
      <c r="C5" s="388"/>
      <c r="D5" s="66" t="s">
        <v>105</v>
      </c>
      <c r="E5" s="398">
        <v>2</v>
      </c>
      <c r="F5" s="401" t="s">
        <v>106</v>
      </c>
      <c r="G5" s="67">
        <v>7368</v>
      </c>
      <c r="H5" s="73"/>
      <c r="I5" s="73"/>
      <c r="J5" s="69"/>
      <c r="K5" s="69"/>
      <c r="L5" s="69"/>
      <c r="M5" s="73"/>
      <c r="N5" s="69"/>
      <c r="O5" s="69"/>
      <c r="P5" s="69"/>
      <c r="Q5" s="69"/>
      <c r="R5" s="69">
        <f t="shared" si="0"/>
        <v>0</v>
      </c>
      <c r="S5" s="70">
        <f t="shared" si="1"/>
        <v>0</v>
      </c>
      <c r="T5" s="71"/>
      <c r="U5" s="71"/>
      <c r="V5" s="134"/>
    </row>
    <row r="6" spans="1:22" s="7" customFormat="1" ht="18" customHeight="1" x14ac:dyDescent="0.3">
      <c r="A6" s="383"/>
      <c r="B6" s="386"/>
      <c r="C6" s="389"/>
      <c r="D6" s="66" t="s">
        <v>107</v>
      </c>
      <c r="E6" s="400"/>
      <c r="F6" s="403"/>
      <c r="G6" s="74"/>
      <c r="H6" s="73"/>
      <c r="I6" s="73"/>
      <c r="J6" s="69"/>
      <c r="K6" s="69"/>
      <c r="L6" s="69"/>
      <c r="M6" s="73"/>
      <c r="N6" s="69"/>
      <c r="O6" s="69"/>
      <c r="P6" s="69"/>
      <c r="Q6" s="69"/>
      <c r="R6" s="69">
        <f t="shared" si="0"/>
        <v>0</v>
      </c>
      <c r="S6" s="70">
        <f t="shared" si="1"/>
        <v>0</v>
      </c>
      <c r="T6" s="71"/>
      <c r="U6" s="71"/>
      <c r="V6" s="134"/>
    </row>
    <row r="7" spans="1:22" s="7" customFormat="1" ht="18" customHeight="1" x14ac:dyDescent="0.3">
      <c r="A7" s="381">
        <v>2</v>
      </c>
      <c r="B7" s="384" t="s">
        <v>9</v>
      </c>
      <c r="C7" s="387" t="s">
        <v>44</v>
      </c>
      <c r="D7" s="66" t="s">
        <v>45</v>
      </c>
      <c r="E7" s="118">
        <v>1</v>
      </c>
      <c r="F7" s="76" t="s">
        <v>10</v>
      </c>
      <c r="G7" s="74"/>
      <c r="H7" s="73"/>
      <c r="I7" s="73"/>
      <c r="J7" s="69"/>
      <c r="K7" s="69"/>
      <c r="L7" s="69"/>
      <c r="M7" s="73"/>
      <c r="N7" s="69"/>
      <c r="O7" s="69"/>
      <c r="P7" s="69">
        <v>0.75</v>
      </c>
      <c r="Q7" s="69"/>
      <c r="R7" s="69">
        <f t="shared" si="0"/>
        <v>0.75</v>
      </c>
      <c r="S7" s="70"/>
      <c r="T7" s="71"/>
      <c r="U7" s="71"/>
      <c r="V7" s="134"/>
    </row>
    <row r="8" spans="1:22" s="7" customFormat="1" ht="18" customHeight="1" x14ac:dyDescent="0.3">
      <c r="A8" s="383"/>
      <c r="B8" s="386"/>
      <c r="C8" s="389"/>
      <c r="D8" s="66" t="s">
        <v>153</v>
      </c>
      <c r="E8" s="118">
        <v>2</v>
      </c>
      <c r="F8" s="119" t="s">
        <v>50</v>
      </c>
      <c r="G8" s="74"/>
      <c r="H8" s="73"/>
      <c r="I8" s="73"/>
      <c r="J8" s="69"/>
      <c r="K8" s="69"/>
      <c r="L8" s="69"/>
      <c r="M8" s="73"/>
      <c r="N8" s="69"/>
      <c r="O8" s="69"/>
      <c r="P8" s="69">
        <v>0.75</v>
      </c>
      <c r="Q8" s="69"/>
      <c r="R8" s="69"/>
      <c r="S8" s="70"/>
      <c r="T8" s="71"/>
      <c r="U8" s="71"/>
      <c r="V8" s="134"/>
    </row>
    <row r="9" spans="1:22" s="7" customFormat="1" ht="18" customHeight="1" x14ac:dyDescent="0.3">
      <c r="A9" s="381">
        <v>3</v>
      </c>
      <c r="B9" s="384" t="s">
        <v>9</v>
      </c>
      <c r="C9" s="387" t="s">
        <v>152</v>
      </c>
      <c r="D9" s="66" t="s">
        <v>45</v>
      </c>
      <c r="E9" s="118">
        <v>1</v>
      </c>
      <c r="F9" s="76" t="s">
        <v>10</v>
      </c>
      <c r="G9" s="74"/>
      <c r="H9" s="73"/>
      <c r="I9" s="73"/>
      <c r="J9" s="65"/>
      <c r="K9" s="69"/>
      <c r="L9" s="69"/>
      <c r="M9" s="73"/>
      <c r="N9" s="65">
        <v>2.6061000000000001</v>
      </c>
      <c r="O9" s="69"/>
      <c r="P9" s="69"/>
      <c r="Q9" s="69"/>
      <c r="R9" s="69">
        <f t="shared" si="0"/>
        <v>2.6061000000000001</v>
      </c>
      <c r="S9" s="70"/>
      <c r="T9" s="71"/>
      <c r="U9" s="71"/>
      <c r="V9" s="134"/>
    </row>
    <row r="10" spans="1:22" s="7" customFormat="1" ht="22.8" customHeight="1" x14ac:dyDescent="0.3">
      <c r="A10" s="383"/>
      <c r="B10" s="386"/>
      <c r="C10" s="389"/>
      <c r="D10" s="66" t="s">
        <v>153</v>
      </c>
      <c r="E10" s="65">
        <v>2</v>
      </c>
      <c r="F10" s="119" t="s">
        <v>50</v>
      </c>
      <c r="G10" s="67">
        <v>7544</v>
      </c>
      <c r="H10" s="74"/>
      <c r="I10" s="65"/>
      <c r="J10" s="77"/>
      <c r="K10" s="78"/>
      <c r="L10" s="79"/>
      <c r="M10" s="65"/>
      <c r="N10" s="77">
        <v>2.6061000000000001</v>
      </c>
      <c r="O10" s="78">
        <f>73*0.0357</f>
        <v>2.6061000000000001</v>
      </c>
      <c r="P10" s="79"/>
      <c r="Q10" s="65"/>
      <c r="R10" s="69"/>
      <c r="S10" s="80">
        <f>R10/1.6529</f>
        <v>0</v>
      </c>
      <c r="T10" s="71"/>
      <c r="U10" s="71"/>
      <c r="V10" s="134"/>
    </row>
    <row r="11" spans="1:22" s="7" customFormat="1" ht="22.8" customHeight="1" x14ac:dyDescent="0.3">
      <c r="A11" s="381">
        <v>4</v>
      </c>
      <c r="B11" s="384" t="s">
        <v>11</v>
      </c>
      <c r="C11" s="387" t="s">
        <v>12</v>
      </c>
      <c r="D11" s="179" t="s">
        <v>103</v>
      </c>
      <c r="E11" s="394">
        <v>1</v>
      </c>
      <c r="F11" s="396" t="s">
        <v>13</v>
      </c>
      <c r="G11" s="67"/>
      <c r="H11" s="74"/>
      <c r="I11" s="65"/>
      <c r="J11" s="77"/>
      <c r="K11" s="78"/>
      <c r="L11" s="79"/>
      <c r="M11" s="65"/>
      <c r="N11" s="77"/>
      <c r="O11" s="78"/>
      <c r="P11" s="79"/>
      <c r="Q11" s="65"/>
      <c r="R11" s="69"/>
      <c r="S11" s="80">
        <f>R11/1.6529</f>
        <v>0</v>
      </c>
      <c r="T11" s="71"/>
      <c r="U11" s="71"/>
      <c r="V11" s="134"/>
    </row>
    <row r="12" spans="1:22" s="7" customFormat="1" ht="31.8" customHeight="1" x14ac:dyDescent="0.3">
      <c r="A12" s="383"/>
      <c r="B12" s="386"/>
      <c r="C12" s="389"/>
      <c r="D12" s="178" t="s">
        <v>106</v>
      </c>
      <c r="E12" s="395"/>
      <c r="F12" s="397"/>
      <c r="G12" s="83">
        <v>8192</v>
      </c>
      <c r="H12" s="74">
        <v>4.25</v>
      </c>
      <c r="I12" s="74">
        <f>34*0.125</f>
        <v>4.25</v>
      </c>
      <c r="J12" s="79"/>
      <c r="K12" s="74"/>
      <c r="L12" s="79"/>
      <c r="M12" s="74"/>
      <c r="N12" s="79"/>
      <c r="O12" s="74"/>
      <c r="P12" s="79"/>
      <c r="Q12" s="65"/>
      <c r="R12" s="69">
        <f>H12+N12+P12</f>
        <v>4.25</v>
      </c>
      <c r="S12" s="80">
        <f t="shared" ref="S12:S22" si="2">R12/1.6529</f>
        <v>2.5712384294270674</v>
      </c>
      <c r="T12" s="71"/>
      <c r="U12" s="71"/>
      <c r="V12" s="134"/>
    </row>
    <row r="13" spans="1:22" s="7" customFormat="1" ht="18" customHeight="1" x14ac:dyDescent="0.3">
      <c r="A13" s="381">
        <v>5</v>
      </c>
      <c r="B13" s="384" t="s">
        <v>108</v>
      </c>
      <c r="C13" s="387" t="s">
        <v>109</v>
      </c>
      <c r="D13" s="71" t="s">
        <v>154</v>
      </c>
      <c r="E13" s="398">
        <v>1</v>
      </c>
      <c r="F13" s="401" t="s">
        <v>110</v>
      </c>
      <c r="G13" s="67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>
        <f t="shared" ref="R13:R21" si="3">H13+N13+P13</f>
        <v>0</v>
      </c>
      <c r="S13" s="80">
        <f t="shared" si="2"/>
        <v>0</v>
      </c>
      <c r="T13" s="71"/>
      <c r="U13" s="71"/>
      <c r="V13" s="134"/>
    </row>
    <row r="14" spans="1:22" s="7" customFormat="1" ht="18" customHeight="1" x14ac:dyDescent="0.3">
      <c r="A14" s="382"/>
      <c r="B14" s="385"/>
      <c r="C14" s="388"/>
      <c r="D14" s="66" t="s">
        <v>111</v>
      </c>
      <c r="E14" s="399"/>
      <c r="F14" s="402"/>
      <c r="G14" s="67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>
        <f t="shared" si="3"/>
        <v>0</v>
      </c>
      <c r="S14" s="80">
        <f t="shared" si="2"/>
        <v>0</v>
      </c>
      <c r="T14" s="71"/>
      <c r="U14" s="71"/>
      <c r="V14" s="134"/>
    </row>
    <row r="15" spans="1:22" s="7" customFormat="1" ht="18" customHeight="1" x14ac:dyDescent="0.3">
      <c r="A15" s="382"/>
      <c r="B15" s="385"/>
      <c r="C15" s="388"/>
      <c r="D15" s="66" t="s">
        <v>112</v>
      </c>
      <c r="E15" s="399"/>
      <c r="F15" s="402"/>
      <c r="G15" s="67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>
        <f t="shared" si="3"/>
        <v>0</v>
      </c>
      <c r="S15" s="80">
        <f t="shared" si="2"/>
        <v>0</v>
      </c>
      <c r="T15" s="71"/>
      <c r="U15" s="71"/>
      <c r="V15" s="134"/>
    </row>
    <row r="16" spans="1:22" s="7" customFormat="1" ht="18" customHeight="1" x14ac:dyDescent="0.3">
      <c r="A16" s="382"/>
      <c r="B16" s="385"/>
      <c r="C16" s="388"/>
      <c r="D16" s="66" t="s">
        <v>113</v>
      </c>
      <c r="E16" s="399"/>
      <c r="F16" s="402"/>
      <c r="G16" s="67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>
        <f t="shared" si="3"/>
        <v>0</v>
      </c>
      <c r="S16" s="80">
        <f t="shared" si="2"/>
        <v>0</v>
      </c>
      <c r="T16" s="71"/>
      <c r="U16" s="71"/>
      <c r="V16" s="134"/>
    </row>
    <row r="17" spans="1:22" s="7" customFormat="1" ht="18" customHeight="1" x14ac:dyDescent="0.3">
      <c r="A17" s="382"/>
      <c r="B17" s="385"/>
      <c r="C17" s="388"/>
      <c r="D17" s="66" t="s">
        <v>114</v>
      </c>
      <c r="E17" s="399"/>
      <c r="F17" s="402"/>
      <c r="G17" s="67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>
        <f t="shared" si="3"/>
        <v>0</v>
      </c>
      <c r="S17" s="80">
        <f t="shared" si="2"/>
        <v>0</v>
      </c>
      <c r="T17" s="71"/>
      <c r="U17" s="71"/>
      <c r="V17" s="134"/>
    </row>
    <row r="18" spans="1:22" s="7" customFormat="1" ht="18" customHeight="1" x14ac:dyDescent="0.3">
      <c r="A18" s="382"/>
      <c r="B18" s="385"/>
      <c r="C18" s="388"/>
      <c r="D18" s="66" t="s">
        <v>115</v>
      </c>
      <c r="E18" s="399"/>
      <c r="F18" s="402"/>
      <c r="G18" s="67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>
        <f t="shared" si="3"/>
        <v>0</v>
      </c>
      <c r="S18" s="80">
        <f t="shared" si="2"/>
        <v>0</v>
      </c>
      <c r="T18" s="71"/>
      <c r="U18" s="71"/>
      <c r="V18" s="134"/>
    </row>
    <row r="19" spans="1:22" s="7" customFormat="1" ht="18" customHeight="1" x14ac:dyDescent="0.3">
      <c r="A19" s="383"/>
      <c r="B19" s="386"/>
      <c r="C19" s="389"/>
      <c r="D19" s="66" t="s">
        <v>116</v>
      </c>
      <c r="E19" s="400"/>
      <c r="F19" s="403"/>
      <c r="G19" s="67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>
        <f t="shared" si="3"/>
        <v>0</v>
      </c>
      <c r="S19" s="80">
        <f t="shared" si="2"/>
        <v>0</v>
      </c>
      <c r="T19" s="71"/>
      <c r="U19" s="71"/>
      <c r="V19" s="134"/>
    </row>
    <row r="20" spans="1:22" s="7" customFormat="1" ht="18" customHeight="1" x14ac:dyDescent="0.3">
      <c r="A20" s="381">
        <v>6</v>
      </c>
      <c r="B20" s="384" t="s">
        <v>14</v>
      </c>
      <c r="C20" s="387" t="s">
        <v>15</v>
      </c>
      <c r="D20" s="66" t="s">
        <v>16</v>
      </c>
      <c r="E20" s="65">
        <v>1</v>
      </c>
      <c r="F20" s="81" t="s">
        <v>18</v>
      </c>
      <c r="G20" s="83">
        <v>7973</v>
      </c>
      <c r="H20" s="74"/>
      <c r="I20" s="65"/>
      <c r="J20" s="79"/>
      <c r="K20" s="78"/>
      <c r="L20" s="79"/>
      <c r="M20" s="65"/>
      <c r="N20" s="79">
        <v>1.0349999999999999</v>
      </c>
      <c r="O20" s="78">
        <f>0.0142*73</f>
        <v>1.0366</v>
      </c>
      <c r="P20" s="79"/>
      <c r="Q20" s="65"/>
      <c r="R20" s="69">
        <f t="shared" si="3"/>
        <v>1.0349999999999999</v>
      </c>
      <c r="S20" s="80">
        <f t="shared" si="2"/>
        <v>0.6261721822251799</v>
      </c>
      <c r="T20" s="71"/>
      <c r="U20" s="71"/>
      <c r="V20" s="134"/>
    </row>
    <row r="21" spans="1:22" s="7" customFormat="1" ht="18" customHeight="1" x14ac:dyDescent="0.3">
      <c r="A21" s="382"/>
      <c r="B21" s="385"/>
      <c r="C21" s="388"/>
      <c r="D21" s="66" t="s">
        <v>19</v>
      </c>
      <c r="E21" s="65">
        <v>2</v>
      </c>
      <c r="F21" s="81" t="s">
        <v>20</v>
      </c>
      <c r="G21" s="83">
        <v>7974</v>
      </c>
      <c r="H21" s="74"/>
      <c r="I21" s="65"/>
      <c r="J21" s="79"/>
      <c r="K21" s="78"/>
      <c r="L21" s="79"/>
      <c r="M21" s="65"/>
      <c r="N21" s="79">
        <v>1.0349999999999999</v>
      </c>
      <c r="O21" s="78">
        <f>0.0142*73</f>
        <v>1.0366</v>
      </c>
      <c r="P21" s="79"/>
      <c r="Q21" s="65"/>
      <c r="R21" s="69">
        <f t="shared" si="3"/>
        <v>1.0349999999999999</v>
      </c>
      <c r="S21" s="80">
        <f t="shared" si="2"/>
        <v>0.6261721822251799</v>
      </c>
      <c r="T21" s="71"/>
      <c r="U21" s="71"/>
      <c r="V21" s="134"/>
    </row>
    <row r="22" spans="1:22" s="7" customFormat="1" ht="18" customHeight="1" x14ac:dyDescent="0.3">
      <c r="A22" s="382"/>
      <c r="B22" s="385"/>
      <c r="C22" s="388"/>
      <c r="D22" s="66" t="s">
        <v>155</v>
      </c>
      <c r="E22" s="65">
        <v>3</v>
      </c>
      <c r="F22" s="81" t="s">
        <v>21</v>
      </c>
      <c r="G22" s="83">
        <v>7980</v>
      </c>
      <c r="H22" s="74"/>
      <c r="I22" s="65"/>
      <c r="J22" s="79"/>
      <c r="K22" s="85"/>
      <c r="L22" s="79"/>
      <c r="M22" s="65"/>
      <c r="N22" s="79">
        <v>10.9</v>
      </c>
      <c r="O22" s="85">
        <v>10.9</v>
      </c>
      <c r="P22" s="79">
        <v>3.27</v>
      </c>
      <c r="Q22" s="65"/>
      <c r="R22" s="69">
        <f>H22+N22+P22</f>
        <v>14.17</v>
      </c>
      <c r="S22" s="80">
        <f t="shared" si="2"/>
        <v>8.5728114223485985</v>
      </c>
      <c r="T22" s="71"/>
      <c r="U22" s="71"/>
      <c r="V22" s="134"/>
    </row>
    <row r="23" spans="1:22" s="7" customFormat="1" ht="18" customHeight="1" x14ac:dyDescent="0.3">
      <c r="A23" s="383"/>
      <c r="B23" s="386"/>
      <c r="C23" s="389"/>
      <c r="D23" s="66" t="s">
        <v>156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80">
        <f>R23/1.6529</f>
        <v>0</v>
      </c>
      <c r="T23" s="71"/>
      <c r="U23" s="71"/>
      <c r="V23" s="71"/>
    </row>
    <row r="24" spans="1:22" s="12" customFormat="1" ht="31.8" customHeight="1" x14ac:dyDescent="0.35">
      <c r="A24" s="121" t="s">
        <v>22</v>
      </c>
      <c r="B24" s="136" t="s">
        <v>23</v>
      </c>
      <c r="C24" s="65" t="s">
        <v>24</v>
      </c>
      <c r="D24" s="75"/>
      <c r="E24" s="74">
        <v>1</v>
      </c>
      <c r="F24" s="81" t="s">
        <v>25</v>
      </c>
      <c r="G24" s="83">
        <v>7963</v>
      </c>
      <c r="H24" s="74"/>
      <c r="I24" s="74"/>
      <c r="J24" s="85"/>
      <c r="K24" s="83"/>
      <c r="L24" s="85"/>
      <c r="M24" s="74"/>
      <c r="N24" s="85">
        <v>13.78</v>
      </c>
      <c r="O24" s="83">
        <f>73*0.1849</f>
        <v>13.4977</v>
      </c>
      <c r="P24" s="85">
        <v>4.08</v>
      </c>
      <c r="Q24" s="74"/>
      <c r="R24" s="69">
        <f>H24+N24+P24</f>
        <v>17.86</v>
      </c>
      <c r="S24" s="80">
        <f>R24/1.6529</f>
        <v>10.805251376368807</v>
      </c>
      <c r="T24" s="86"/>
      <c r="U24" s="86"/>
      <c r="V24" s="137"/>
    </row>
    <row r="25" spans="1:22" s="12" customFormat="1" ht="49.2" customHeight="1" x14ac:dyDescent="0.35">
      <c r="A25" s="84" t="s">
        <v>26</v>
      </c>
      <c r="B25" s="138" t="s">
        <v>27</v>
      </c>
      <c r="C25" s="87" t="s">
        <v>28</v>
      </c>
      <c r="D25" s="75"/>
      <c r="E25" s="88">
        <v>2</v>
      </c>
      <c r="F25" s="89" t="s">
        <v>29</v>
      </c>
      <c r="G25" s="90">
        <v>7962</v>
      </c>
      <c r="H25" s="88">
        <v>0.8125</v>
      </c>
      <c r="I25" s="88">
        <f>0.0241*34</f>
        <v>0.81940000000000002</v>
      </c>
      <c r="J25" s="91"/>
      <c r="K25" s="90"/>
      <c r="L25" s="91"/>
      <c r="M25" s="88"/>
      <c r="N25" s="91">
        <v>13.79</v>
      </c>
      <c r="O25" s="90">
        <f>73*0.185</f>
        <v>13.504999999999999</v>
      </c>
      <c r="P25" s="91">
        <v>4.09</v>
      </c>
      <c r="Q25" s="88"/>
      <c r="R25" s="92">
        <f>H25+N25+P25</f>
        <v>18.692499999999999</v>
      </c>
      <c r="S25" s="80">
        <f>R25/1.6529</f>
        <v>11.308911609897754</v>
      </c>
      <c r="T25" s="86"/>
      <c r="U25" s="86"/>
      <c r="V25" s="137"/>
    </row>
    <row r="26" spans="1:22" s="7" customFormat="1" ht="31.8" customHeight="1" x14ac:dyDescent="0.3">
      <c r="A26" s="121">
        <v>7</v>
      </c>
      <c r="B26" s="136" t="s">
        <v>30</v>
      </c>
      <c r="C26" s="65" t="s">
        <v>31</v>
      </c>
      <c r="D26" s="75"/>
      <c r="E26" s="74">
        <v>3</v>
      </c>
      <c r="F26" s="247" t="s">
        <v>32</v>
      </c>
      <c r="G26" s="67">
        <v>7964</v>
      </c>
      <c r="H26" s="74"/>
      <c r="I26" s="85"/>
      <c r="J26" s="79"/>
      <c r="K26" s="83"/>
      <c r="L26" s="85"/>
      <c r="M26" s="85"/>
      <c r="N26" s="79">
        <v>2.91</v>
      </c>
      <c r="O26" s="83">
        <f>73*0.0359</f>
        <v>2.6207000000000003</v>
      </c>
      <c r="P26" s="85">
        <v>0.81</v>
      </c>
      <c r="Q26" s="74"/>
      <c r="R26" s="69">
        <f t="shared" ref="R26:R34" si="4">H26+N26+P26</f>
        <v>3.72</v>
      </c>
      <c r="S26" s="80">
        <f t="shared" ref="S26:S35" si="5">R26/1.6529</f>
        <v>2.2505898723455746</v>
      </c>
      <c r="T26" s="71"/>
      <c r="U26" s="71"/>
      <c r="V26" s="134"/>
    </row>
    <row r="27" spans="1:22" s="7" customFormat="1" ht="31.8" customHeight="1" thickBot="1" x14ac:dyDescent="0.35">
      <c r="A27" s="121">
        <v>9</v>
      </c>
      <c r="B27" s="135" t="s">
        <v>33</v>
      </c>
      <c r="C27" s="82" t="s">
        <v>34</v>
      </c>
      <c r="D27" s="119" t="s">
        <v>50</v>
      </c>
      <c r="E27" s="74">
        <v>1</v>
      </c>
      <c r="F27" s="247" t="s">
        <v>35</v>
      </c>
      <c r="G27" s="67">
        <v>8178</v>
      </c>
      <c r="H27" s="74"/>
      <c r="I27" s="74"/>
      <c r="J27" s="79"/>
      <c r="K27" s="74"/>
      <c r="L27" s="85"/>
      <c r="M27" s="74"/>
      <c r="N27" s="79">
        <v>2.6061000000000001</v>
      </c>
      <c r="O27" s="74">
        <f>73*0.0357</f>
        <v>2.6061000000000001</v>
      </c>
      <c r="P27" s="85">
        <v>0.75</v>
      </c>
      <c r="Q27" s="74"/>
      <c r="R27" s="69">
        <f t="shared" si="4"/>
        <v>3.3561000000000001</v>
      </c>
      <c r="S27" s="80">
        <f t="shared" si="5"/>
        <v>2.0304313630588662</v>
      </c>
      <c r="T27" s="71"/>
      <c r="U27" s="71"/>
      <c r="V27" s="134"/>
    </row>
    <row r="28" spans="1:22" s="1" customFormat="1" ht="66" customHeight="1" thickBot="1" x14ac:dyDescent="0.35">
      <c r="A28" s="126" t="s">
        <v>1</v>
      </c>
      <c r="B28" s="145" t="s">
        <v>2</v>
      </c>
      <c r="C28" s="97" t="s">
        <v>3</v>
      </c>
      <c r="D28" s="153" t="s">
        <v>4</v>
      </c>
      <c r="E28" s="161" t="s">
        <v>5</v>
      </c>
      <c r="F28" s="162" t="s">
        <v>6</v>
      </c>
      <c r="G28" s="163" t="s">
        <v>7</v>
      </c>
      <c r="H28" s="164" t="s">
        <v>117</v>
      </c>
      <c r="I28" s="164" t="s">
        <v>8</v>
      </c>
      <c r="J28" s="164"/>
      <c r="K28" s="165"/>
      <c r="L28" s="164"/>
      <c r="M28" s="164"/>
      <c r="N28" s="164" t="s">
        <v>119</v>
      </c>
      <c r="O28" s="165" t="s">
        <v>8</v>
      </c>
      <c r="P28" s="164" t="s">
        <v>118</v>
      </c>
      <c r="Q28" s="164" t="s">
        <v>8</v>
      </c>
      <c r="R28" s="164" t="s">
        <v>120</v>
      </c>
      <c r="S28" s="166" t="s">
        <v>121</v>
      </c>
      <c r="T28" s="167" t="s">
        <v>42</v>
      </c>
      <c r="U28" s="168" t="s">
        <v>43</v>
      </c>
      <c r="V28" s="169" t="s">
        <v>41</v>
      </c>
    </row>
    <row r="29" spans="1:22" s="7" customFormat="1" ht="20.399999999999999" customHeight="1" x14ac:dyDescent="0.3">
      <c r="A29" s="390">
        <v>14</v>
      </c>
      <c r="B29" s="392" t="s">
        <v>36</v>
      </c>
      <c r="C29" s="394" t="s">
        <v>37</v>
      </c>
      <c r="D29" s="180" t="s">
        <v>146</v>
      </c>
      <c r="E29" s="74">
        <v>1</v>
      </c>
      <c r="F29" s="93" t="s">
        <v>38</v>
      </c>
      <c r="G29" s="83"/>
      <c r="H29" s="74"/>
      <c r="I29" s="74"/>
      <c r="J29" s="85"/>
      <c r="K29" s="74"/>
      <c r="L29" s="85"/>
      <c r="M29" s="74"/>
      <c r="N29" s="85">
        <v>2.2999999999999998</v>
      </c>
      <c r="O29" s="74"/>
      <c r="P29" s="85">
        <v>0.52500000000000002</v>
      </c>
      <c r="Q29" s="74"/>
      <c r="R29" s="69">
        <f t="shared" si="4"/>
        <v>2.8249999999999997</v>
      </c>
      <c r="S29" s="80">
        <f t="shared" si="5"/>
        <v>1.7091173089721095</v>
      </c>
      <c r="T29" s="71"/>
      <c r="U29" s="71"/>
      <c r="V29" s="134"/>
    </row>
    <row r="30" spans="1:22" s="7" customFormat="1" ht="20.399999999999999" customHeight="1" x14ac:dyDescent="0.3">
      <c r="A30" s="391"/>
      <c r="B30" s="393"/>
      <c r="C30" s="395"/>
      <c r="D30" s="180" t="s">
        <v>147</v>
      </c>
      <c r="E30" s="74">
        <v>2</v>
      </c>
      <c r="F30" s="93" t="s">
        <v>39</v>
      </c>
      <c r="G30" s="83"/>
      <c r="H30" s="74"/>
      <c r="I30" s="74"/>
      <c r="J30" s="85"/>
      <c r="K30" s="74"/>
      <c r="L30" s="85"/>
      <c r="M30" s="74"/>
      <c r="N30" s="85">
        <v>1</v>
      </c>
      <c r="O30" s="74"/>
      <c r="P30" s="85">
        <v>0.52500000000000002</v>
      </c>
      <c r="Q30" s="74"/>
      <c r="R30" s="69">
        <f t="shared" si="4"/>
        <v>1.5249999999999999</v>
      </c>
      <c r="S30" s="80">
        <f t="shared" si="5"/>
        <v>0.92262084820618295</v>
      </c>
      <c r="T30" s="71"/>
      <c r="U30" s="71"/>
      <c r="V30" s="134"/>
    </row>
    <row r="31" spans="1:22" s="7" customFormat="1" ht="25.2" customHeight="1" x14ac:dyDescent="0.3">
      <c r="A31" s="122"/>
      <c r="B31" s="110"/>
      <c r="C31" s="34"/>
      <c r="D31" s="116" t="s">
        <v>146</v>
      </c>
      <c r="E31" s="8"/>
      <c r="F31" s="252"/>
      <c r="G31" s="10"/>
      <c r="H31" s="8"/>
      <c r="I31" s="8"/>
      <c r="J31" s="57"/>
      <c r="K31" s="10"/>
      <c r="L31" s="57"/>
      <c r="M31" s="8"/>
      <c r="N31" s="57">
        <f>0.45/2</f>
        <v>0.22500000000000001</v>
      </c>
      <c r="O31" s="10"/>
      <c r="P31" s="57"/>
      <c r="Q31" s="10"/>
      <c r="R31" s="117">
        <f t="shared" si="4"/>
        <v>0.22500000000000001</v>
      </c>
      <c r="S31" s="229">
        <f t="shared" si="5"/>
        <v>0.13612438744025651</v>
      </c>
      <c r="T31" s="21"/>
      <c r="U31" s="22"/>
      <c r="V31" s="139"/>
    </row>
    <row r="32" spans="1:22" s="7" customFormat="1" ht="25.2" customHeight="1" x14ac:dyDescent="0.3">
      <c r="A32" s="122"/>
      <c r="B32" s="110"/>
      <c r="C32" s="34"/>
      <c r="D32" s="116" t="s">
        <v>147</v>
      </c>
      <c r="E32" s="8"/>
      <c r="F32" s="252"/>
      <c r="G32" s="10"/>
      <c r="H32" s="8"/>
      <c r="I32" s="8"/>
      <c r="J32" s="57"/>
      <c r="K32" s="10"/>
      <c r="L32" s="57"/>
      <c r="M32" s="8"/>
      <c r="N32" s="57">
        <f>0.45/2</f>
        <v>0.22500000000000001</v>
      </c>
      <c r="O32" s="10"/>
      <c r="P32" s="57"/>
      <c r="Q32" s="10"/>
      <c r="R32" s="117">
        <f t="shared" si="4"/>
        <v>0.22500000000000001</v>
      </c>
      <c r="S32" s="229">
        <f t="shared" si="5"/>
        <v>0.13612438744025651</v>
      </c>
      <c r="T32" s="21"/>
      <c r="U32" s="22"/>
      <c r="V32" s="139"/>
    </row>
    <row r="33" spans="1:22" s="7" customFormat="1" ht="25.2" customHeight="1" x14ac:dyDescent="0.3">
      <c r="A33" s="123">
        <v>15</v>
      </c>
      <c r="B33" s="140"/>
      <c r="C33" s="111"/>
      <c r="D33" s="112" t="s">
        <v>70</v>
      </c>
      <c r="E33" s="59">
        <v>1</v>
      </c>
      <c r="F33" s="35" t="s">
        <v>71</v>
      </c>
      <c r="G33" s="36">
        <v>8331</v>
      </c>
      <c r="H33" s="59"/>
      <c r="I33" s="59"/>
      <c r="J33" s="62"/>
      <c r="K33" s="59"/>
      <c r="L33" s="62"/>
      <c r="M33" s="59"/>
      <c r="N33" s="62">
        <f>3.125+3.75</f>
        <v>6.875</v>
      </c>
      <c r="O33" s="59">
        <f>73*0.0428</f>
        <v>3.1243999999999996</v>
      </c>
      <c r="P33" s="62">
        <f>0.875+1.05</f>
        <v>1.925</v>
      </c>
      <c r="Q33" s="59">
        <f>21*0.0417</f>
        <v>0.87570000000000003</v>
      </c>
      <c r="R33" s="37">
        <f t="shared" si="4"/>
        <v>8.8000000000000007</v>
      </c>
      <c r="S33" s="38">
        <f t="shared" si="5"/>
        <v>5.3239760421078106</v>
      </c>
      <c r="T33" s="39" t="s">
        <v>217</v>
      </c>
      <c r="U33" s="40"/>
      <c r="V33" s="141"/>
    </row>
    <row r="34" spans="1:22" s="7" customFormat="1" ht="25.2" customHeight="1" x14ac:dyDescent="0.3">
      <c r="A34" s="124"/>
      <c r="B34" s="142"/>
      <c r="C34" s="113"/>
      <c r="D34" s="114"/>
      <c r="E34" s="59">
        <v>1</v>
      </c>
      <c r="F34" s="35" t="s">
        <v>142</v>
      </c>
      <c r="G34" s="36"/>
      <c r="H34" s="59"/>
      <c r="I34" s="59"/>
      <c r="J34" s="62"/>
      <c r="K34" s="59"/>
      <c r="L34" s="62"/>
      <c r="M34" s="59"/>
      <c r="N34" s="62">
        <f>1.875</f>
        <v>1.875</v>
      </c>
      <c r="O34" s="59"/>
      <c r="P34" s="62">
        <v>0.52500000000000002</v>
      </c>
      <c r="Q34" s="59"/>
      <c r="R34" s="37">
        <f t="shared" si="4"/>
        <v>2.4</v>
      </c>
      <c r="S34" s="38">
        <f t="shared" si="5"/>
        <v>1.4519934660294027</v>
      </c>
      <c r="T34" s="39" t="s">
        <v>217</v>
      </c>
      <c r="U34" s="40"/>
      <c r="V34" s="141"/>
    </row>
    <row r="35" spans="1:22" s="18" customFormat="1" ht="31.8" customHeight="1" x14ac:dyDescent="0.35">
      <c r="A35" s="125"/>
      <c r="B35" s="369" t="s">
        <v>40</v>
      </c>
      <c r="C35" s="370"/>
      <c r="D35" s="370"/>
      <c r="E35" s="370"/>
      <c r="F35" s="371"/>
      <c r="G35" s="96"/>
      <c r="H35" s="95">
        <f>SUM(H10:H34)</f>
        <v>5.0625</v>
      </c>
      <c r="I35" s="95">
        <f t="shared" ref="I35:Q35" si="6">SUM(I10:I34)</f>
        <v>5.0693999999999999</v>
      </c>
      <c r="J35" s="95"/>
      <c r="K35" s="95"/>
      <c r="L35" s="95"/>
      <c r="M35" s="95"/>
      <c r="N35" s="95">
        <f t="shared" si="6"/>
        <v>61.162199999999999</v>
      </c>
      <c r="O35" s="95">
        <f t="shared" si="6"/>
        <v>50.933199999999992</v>
      </c>
      <c r="P35" s="95">
        <f t="shared" si="6"/>
        <v>16.5</v>
      </c>
      <c r="Q35" s="95">
        <f t="shared" si="6"/>
        <v>0.87570000000000003</v>
      </c>
      <c r="R35" s="228">
        <f>SUM(R3:R34)</f>
        <v>83.474699999999999</v>
      </c>
      <c r="S35" s="80">
        <f t="shared" si="5"/>
        <v>50.501966241151912</v>
      </c>
      <c r="T35" s="95"/>
      <c r="U35" s="96"/>
      <c r="V35" s="143"/>
    </row>
    <row r="36" spans="1:22" s="7" customFormat="1" ht="22.2" customHeight="1" thickBot="1" x14ac:dyDescent="0.35">
      <c r="A36" s="100" t="s">
        <v>125</v>
      </c>
      <c r="B36" s="144"/>
      <c r="C36" s="98"/>
      <c r="D36" s="99"/>
      <c r="E36" s="154"/>
      <c r="F36" s="155"/>
      <c r="G36" s="155"/>
      <c r="H36" s="154"/>
      <c r="I36" s="154"/>
      <c r="J36" s="156"/>
      <c r="K36" s="154"/>
      <c r="L36" s="154"/>
      <c r="M36" s="154"/>
      <c r="N36" s="156"/>
      <c r="O36" s="154"/>
      <c r="P36" s="154"/>
      <c r="Q36" s="154"/>
      <c r="R36" s="157"/>
      <c r="S36" s="158"/>
      <c r="T36" s="159"/>
      <c r="U36" s="160"/>
      <c r="V36" s="152"/>
    </row>
    <row r="37" spans="1:22" s="1" customFormat="1" ht="66" customHeight="1" thickBot="1" x14ac:dyDescent="0.35">
      <c r="A37" s="126" t="s">
        <v>1</v>
      </c>
      <c r="B37" s="145" t="s">
        <v>2</v>
      </c>
      <c r="C37" s="97" t="s">
        <v>3</v>
      </c>
      <c r="D37" s="153" t="s">
        <v>4</v>
      </c>
      <c r="E37" s="161" t="s">
        <v>5</v>
      </c>
      <c r="F37" s="162" t="s">
        <v>6</v>
      </c>
      <c r="G37" s="163" t="s">
        <v>7</v>
      </c>
      <c r="H37" s="164" t="s">
        <v>117</v>
      </c>
      <c r="I37" s="164" t="s">
        <v>8</v>
      </c>
      <c r="J37" s="164"/>
      <c r="K37" s="165"/>
      <c r="L37" s="164"/>
      <c r="M37" s="164"/>
      <c r="N37" s="164" t="s">
        <v>119</v>
      </c>
      <c r="O37" s="165" t="s">
        <v>8</v>
      </c>
      <c r="P37" s="164" t="s">
        <v>118</v>
      </c>
      <c r="Q37" s="164" t="s">
        <v>8</v>
      </c>
      <c r="R37" s="164" t="s">
        <v>120</v>
      </c>
      <c r="S37" s="166" t="s">
        <v>121</v>
      </c>
      <c r="T37" s="167" t="s">
        <v>42</v>
      </c>
      <c r="U37" s="168" t="s">
        <v>43</v>
      </c>
      <c r="V37" s="169" t="s">
        <v>41</v>
      </c>
    </row>
    <row r="38" spans="1:22" s="7" customFormat="1" ht="25.2" customHeight="1" x14ac:dyDescent="0.3">
      <c r="A38" s="127">
        <v>2</v>
      </c>
      <c r="B38" s="146" t="s">
        <v>9</v>
      </c>
      <c r="C38" s="23" t="s">
        <v>44</v>
      </c>
      <c r="D38" s="24" t="s">
        <v>45</v>
      </c>
      <c r="E38" s="25" t="s">
        <v>17</v>
      </c>
      <c r="F38" s="26" t="s">
        <v>10</v>
      </c>
      <c r="G38" s="4">
        <v>7544</v>
      </c>
      <c r="H38" s="8"/>
      <c r="I38" s="2"/>
      <c r="J38" s="60"/>
      <c r="K38" s="8"/>
      <c r="L38" s="4"/>
      <c r="M38" s="2"/>
      <c r="N38" s="60"/>
      <c r="O38" s="8"/>
      <c r="P38" s="4"/>
      <c r="Q38" s="4"/>
      <c r="R38" s="5">
        <f t="shared" ref="R38:R93" si="7">H38+N38+P38</f>
        <v>0</v>
      </c>
      <c r="S38" s="6">
        <f>R38/1.6529</f>
        <v>0</v>
      </c>
      <c r="T38" s="21"/>
      <c r="U38" s="22"/>
      <c r="V38" s="139"/>
    </row>
    <row r="39" spans="1:22" s="7" customFormat="1" ht="25.2" customHeight="1" x14ac:dyDescent="0.3">
      <c r="A39" s="128">
        <v>3</v>
      </c>
      <c r="B39" s="147" t="s">
        <v>9</v>
      </c>
      <c r="C39" s="27" t="s">
        <v>46</v>
      </c>
      <c r="D39" s="24" t="s">
        <v>45</v>
      </c>
      <c r="E39" s="25"/>
      <c r="F39" s="31" t="s">
        <v>10</v>
      </c>
      <c r="G39" s="4">
        <v>7544</v>
      </c>
      <c r="H39" s="8"/>
      <c r="I39" s="2"/>
      <c r="J39" s="120"/>
      <c r="K39" s="56"/>
      <c r="L39" s="2"/>
      <c r="M39" s="2"/>
      <c r="N39" s="120">
        <v>2.6061000000000001</v>
      </c>
      <c r="O39" s="56">
        <f>73*0.0357</f>
        <v>2.6061000000000001</v>
      </c>
      <c r="P39" s="2"/>
      <c r="Q39" s="2"/>
      <c r="R39" s="5">
        <f t="shared" si="7"/>
        <v>2.6061000000000001</v>
      </c>
      <c r="S39" s="6">
        <f>R39/1.6529</f>
        <v>1.5766834049246778</v>
      </c>
      <c r="T39" s="21"/>
      <c r="U39" s="22">
        <v>1340</v>
      </c>
      <c r="V39" s="139">
        <v>1</v>
      </c>
    </row>
    <row r="40" spans="1:22" s="7" customFormat="1" ht="25.2" customHeight="1" x14ac:dyDescent="0.3">
      <c r="A40" s="129">
        <v>4</v>
      </c>
      <c r="B40" s="148" t="s">
        <v>11</v>
      </c>
      <c r="C40" s="28" t="s">
        <v>12</v>
      </c>
      <c r="D40" s="9" t="s">
        <v>47</v>
      </c>
      <c r="E40" s="13"/>
      <c r="F40" s="16" t="s">
        <v>13</v>
      </c>
      <c r="G40" s="8"/>
      <c r="H40" s="56"/>
      <c r="I40" s="10"/>
      <c r="J40" s="58"/>
      <c r="K40" s="10"/>
      <c r="L40" s="4"/>
      <c r="M40" s="10"/>
      <c r="N40" s="58"/>
      <c r="O40" s="10"/>
      <c r="P40" s="4"/>
      <c r="Q40" s="4"/>
      <c r="R40" s="5"/>
      <c r="S40" s="6">
        <f>R40/1.6529</f>
        <v>0</v>
      </c>
      <c r="T40" s="21"/>
      <c r="U40" s="22"/>
      <c r="V40" s="139"/>
    </row>
    <row r="41" spans="1:22" s="266" customFormat="1" ht="25.2" customHeight="1" x14ac:dyDescent="0.3">
      <c r="A41" s="372">
        <v>6</v>
      </c>
      <c r="B41" s="378" t="s">
        <v>14</v>
      </c>
      <c r="C41" s="375" t="s">
        <v>15</v>
      </c>
      <c r="D41" s="267" t="s">
        <v>16</v>
      </c>
      <c r="E41" s="242">
        <v>1</v>
      </c>
      <c r="F41" s="260" t="s">
        <v>18</v>
      </c>
      <c r="G41" s="227">
        <v>7973</v>
      </c>
      <c r="H41" s="240"/>
      <c r="I41" s="242"/>
      <c r="J41" s="268"/>
      <c r="K41" s="240"/>
      <c r="L41" s="242"/>
      <c r="M41" s="242"/>
      <c r="N41" s="268">
        <f>0.01035*100</f>
        <v>1.0349999999999999</v>
      </c>
      <c r="O41" s="240">
        <f>73*0.0142</f>
        <v>1.0366</v>
      </c>
      <c r="P41" s="242"/>
      <c r="Q41" s="242"/>
      <c r="R41" s="256">
        <f t="shared" si="7"/>
        <v>1.0349999999999999</v>
      </c>
      <c r="S41" s="257">
        <f t="shared" ref="S41:S95" si="8">R41/1.6529</f>
        <v>0.6261721822251799</v>
      </c>
      <c r="T41" s="337" t="s">
        <v>48</v>
      </c>
      <c r="U41" s="339">
        <v>720</v>
      </c>
      <c r="V41" s="326">
        <v>1</v>
      </c>
    </row>
    <row r="42" spans="1:22" s="266" customFormat="1" ht="25.2" customHeight="1" x14ac:dyDescent="0.3">
      <c r="A42" s="373"/>
      <c r="B42" s="379"/>
      <c r="C42" s="376"/>
      <c r="D42" s="267" t="s">
        <v>19</v>
      </c>
      <c r="E42" s="242"/>
      <c r="F42" s="260" t="s">
        <v>20</v>
      </c>
      <c r="G42" s="227">
        <v>7974</v>
      </c>
      <c r="H42" s="240"/>
      <c r="I42" s="242"/>
      <c r="J42" s="268"/>
      <c r="K42" s="240"/>
      <c r="L42" s="242"/>
      <c r="M42" s="242"/>
      <c r="N42" s="268">
        <f>0.01035*100</f>
        <v>1.0349999999999999</v>
      </c>
      <c r="O42" s="240">
        <f>73*0.0142</f>
        <v>1.0366</v>
      </c>
      <c r="P42" s="242"/>
      <c r="Q42" s="242"/>
      <c r="R42" s="256">
        <f t="shared" si="7"/>
        <v>1.0349999999999999</v>
      </c>
      <c r="S42" s="257">
        <f t="shared" si="8"/>
        <v>0.6261721822251799</v>
      </c>
      <c r="T42" s="338"/>
      <c r="U42" s="340"/>
      <c r="V42" s="327"/>
    </row>
    <row r="43" spans="1:22" s="7" customFormat="1" ht="25.2" customHeight="1" x14ac:dyDescent="0.3">
      <c r="A43" s="374"/>
      <c r="B43" s="380"/>
      <c r="C43" s="377"/>
      <c r="D43" s="32"/>
      <c r="E43" s="2">
        <v>2</v>
      </c>
      <c r="F43" s="230" t="s">
        <v>32</v>
      </c>
      <c r="G43" s="4">
        <v>7964</v>
      </c>
      <c r="H43" s="10"/>
      <c r="I43" s="4"/>
      <c r="J43" s="120"/>
      <c r="K43" s="10"/>
      <c r="L43" s="4"/>
      <c r="M43" s="4"/>
      <c r="N43" s="120">
        <f>2.91-2.475</f>
        <v>0.43500000000000005</v>
      </c>
      <c r="O43" s="10"/>
      <c r="P43" s="4"/>
      <c r="Q43" s="4"/>
      <c r="R43" s="5">
        <f t="shared" si="7"/>
        <v>0.43500000000000005</v>
      </c>
      <c r="S43" s="6">
        <f t="shared" si="8"/>
        <v>0.26317381571782927</v>
      </c>
      <c r="T43" s="360" t="s">
        <v>51</v>
      </c>
      <c r="U43" s="362">
        <v>1340</v>
      </c>
      <c r="V43" s="364">
        <v>1</v>
      </c>
    </row>
    <row r="44" spans="1:22" s="7" customFormat="1" ht="25.2" customHeight="1" x14ac:dyDescent="0.3">
      <c r="A44" s="130">
        <v>9</v>
      </c>
      <c r="B44" s="149" t="s">
        <v>33</v>
      </c>
      <c r="C44" s="29" t="s">
        <v>34</v>
      </c>
      <c r="D44" s="30" t="s">
        <v>50</v>
      </c>
      <c r="E44" s="25"/>
      <c r="F44" s="238" t="s">
        <v>35</v>
      </c>
      <c r="G44" s="4">
        <v>8178</v>
      </c>
      <c r="H44" s="10"/>
      <c r="I44" s="4"/>
      <c r="J44" s="120"/>
      <c r="K44" s="10"/>
      <c r="L44" s="4"/>
      <c r="M44" s="4"/>
      <c r="N44" s="120">
        <f>2.6061-1.65</f>
        <v>0.95610000000000017</v>
      </c>
      <c r="O44" s="10"/>
      <c r="P44" s="4"/>
      <c r="Q44" s="4"/>
      <c r="R44" s="5">
        <f t="shared" si="7"/>
        <v>0.95610000000000017</v>
      </c>
      <c r="S44" s="6">
        <f t="shared" si="8"/>
        <v>0.57843789702946347</v>
      </c>
      <c r="T44" s="361"/>
      <c r="U44" s="363"/>
      <c r="V44" s="365"/>
    </row>
    <row r="45" spans="1:22" s="266" customFormat="1" ht="25.2" customHeight="1" x14ac:dyDescent="0.3">
      <c r="A45" s="366">
        <v>10</v>
      </c>
      <c r="B45" s="357" t="s">
        <v>52</v>
      </c>
      <c r="C45" s="330" t="s">
        <v>53</v>
      </c>
      <c r="D45" s="334" t="s">
        <v>21</v>
      </c>
      <c r="E45" s="270">
        <v>3</v>
      </c>
      <c r="F45" s="241" t="s">
        <v>54</v>
      </c>
      <c r="G45" s="227">
        <v>8204</v>
      </c>
      <c r="H45" s="240"/>
      <c r="I45" s="240"/>
      <c r="J45" s="255"/>
      <c r="K45" s="270"/>
      <c r="L45" s="240"/>
      <c r="M45" s="240"/>
      <c r="N45" s="255">
        <v>2.8875000000000002</v>
      </c>
      <c r="O45" s="270">
        <f>73*0.0396</f>
        <v>2.8908</v>
      </c>
      <c r="P45" s="240"/>
      <c r="Q45" s="240"/>
      <c r="R45" s="256">
        <f t="shared" si="7"/>
        <v>2.8875000000000002</v>
      </c>
      <c r="S45" s="257">
        <f t="shared" si="8"/>
        <v>1.7469296388166253</v>
      </c>
      <c r="T45" s="258" t="s">
        <v>51</v>
      </c>
      <c r="U45" s="259">
        <v>1260</v>
      </c>
      <c r="V45" s="254">
        <v>1</v>
      </c>
    </row>
    <row r="46" spans="1:22" s="266" customFormat="1" ht="25.2" customHeight="1" x14ac:dyDescent="0.3">
      <c r="A46" s="367"/>
      <c r="B46" s="358"/>
      <c r="C46" s="331"/>
      <c r="D46" s="335"/>
      <c r="E46" s="270">
        <v>4</v>
      </c>
      <c r="F46" s="241" t="s">
        <v>55</v>
      </c>
      <c r="G46" s="227">
        <v>8214</v>
      </c>
      <c r="H46" s="240"/>
      <c r="I46" s="240"/>
      <c r="J46" s="255"/>
      <c r="K46" s="270"/>
      <c r="L46" s="240"/>
      <c r="M46" s="240"/>
      <c r="N46" s="255">
        <v>1.65</v>
      </c>
      <c r="O46" s="270">
        <f>73*0.0226</f>
        <v>1.6497999999999999</v>
      </c>
      <c r="P46" s="240"/>
      <c r="Q46" s="240"/>
      <c r="R46" s="256">
        <f t="shared" si="7"/>
        <v>1.65</v>
      </c>
      <c r="S46" s="257">
        <f t="shared" si="8"/>
        <v>0.99824550789521438</v>
      </c>
      <c r="T46" s="258" t="s">
        <v>48</v>
      </c>
      <c r="U46" s="259">
        <v>720</v>
      </c>
      <c r="V46" s="254" t="s">
        <v>49</v>
      </c>
    </row>
    <row r="47" spans="1:22" s="266" customFormat="1" ht="25.2" customHeight="1" x14ac:dyDescent="0.3">
      <c r="A47" s="368"/>
      <c r="B47" s="359"/>
      <c r="C47" s="332"/>
      <c r="D47" s="336"/>
      <c r="E47" s="270">
        <v>5</v>
      </c>
      <c r="F47" s="241" t="s">
        <v>56</v>
      </c>
      <c r="G47" s="227">
        <v>8218</v>
      </c>
      <c r="H47" s="240"/>
      <c r="I47" s="240"/>
      <c r="J47" s="255"/>
      <c r="K47" s="270"/>
      <c r="L47" s="240"/>
      <c r="M47" s="240"/>
      <c r="N47" s="255">
        <v>1.65</v>
      </c>
      <c r="O47" s="270">
        <f>73*0.0226</f>
        <v>1.6497999999999999</v>
      </c>
      <c r="P47" s="240"/>
      <c r="Q47" s="240"/>
      <c r="R47" s="256">
        <f t="shared" si="7"/>
        <v>1.65</v>
      </c>
      <c r="S47" s="257">
        <f t="shared" si="8"/>
        <v>0.99824550789521438</v>
      </c>
      <c r="T47" s="258" t="s">
        <v>48</v>
      </c>
      <c r="U47" s="259">
        <v>720</v>
      </c>
      <c r="V47" s="254">
        <v>1</v>
      </c>
    </row>
    <row r="48" spans="1:22" s="7" customFormat="1" ht="25.2" customHeight="1" x14ac:dyDescent="0.3">
      <c r="A48" s="131">
        <v>11</v>
      </c>
      <c r="B48" s="33" t="s">
        <v>57</v>
      </c>
      <c r="C48" s="20" t="s">
        <v>58</v>
      </c>
      <c r="D48" s="3" t="s">
        <v>25</v>
      </c>
      <c r="E48" s="14">
        <v>6</v>
      </c>
      <c r="F48" s="19" t="s">
        <v>59</v>
      </c>
      <c r="G48" s="10">
        <v>8243</v>
      </c>
      <c r="H48" s="14"/>
      <c r="I48" s="8"/>
      <c r="J48" s="61"/>
      <c r="K48" s="14"/>
      <c r="L48" s="8"/>
      <c r="M48" s="8"/>
      <c r="N48" s="61">
        <v>2.0625</v>
      </c>
      <c r="O48" s="14">
        <f>73*0.0283</f>
        <v>2.0659000000000001</v>
      </c>
      <c r="P48" s="8"/>
      <c r="Q48" s="8"/>
      <c r="R48" s="5">
        <f t="shared" si="7"/>
        <v>2.0625</v>
      </c>
      <c r="S48" s="6">
        <f t="shared" si="8"/>
        <v>1.247806884869018</v>
      </c>
      <c r="T48" s="21" t="s">
        <v>48</v>
      </c>
      <c r="U48" s="22">
        <v>900</v>
      </c>
      <c r="V48" s="139" t="s">
        <v>49</v>
      </c>
    </row>
    <row r="49" spans="1:22" s="280" customFormat="1" ht="25.2" customHeight="1" x14ac:dyDescent="0.3">
      <c r="A49" s="348">
        <v>12</v>
      </c>
      <c r="B49" s="351" t="s">
        <v>60</v>
      </c>
      <c r="C49" s="311" t="s">
        <v>61</v>
      </c>
      <c r="D49" s="308" t="s">
        <v>29</v>
      </c>
      <c r="E49" s="271">
        <v>7</v>
      </c>
      <c r="F49" s="272" t="s">
        <v>62</v>
      </c>
      <c r="G49" s="273">
        <v>8291</v>
      </c>
      <c r="H49" s="271"/>
      <c r="I49" s="271"/>
      <c r="J49" s="274"/>
      <c r="K49" s="271"/>
      <c r="L49" s="271"/>
      <c r="M49" s="271"/>
      <c r="N49" s="274">
        <v>2.0625</v>
      </c>
      <c r="O49" s="271">
        <f>0.0283*73</f>
        <v>2.0659000000000001</v>
      </c>
      <c r="P49" s="271"/>
      <c r="Q49" s="271"/>
      <c r="R49" s="275">
        <f t="shared" si="7"/>
        <v>2.0625</v>
      </c>
      <c r="S49" s="276">
        <f t="shared" si="8"/>
        <v>1.247806884869018</v>
      </c>
      <c r="T49" s="277" t="s">
        <v>48</v>
      </c>
      <c r="U49" s="278">
        <v>900</v>
      </c>
      <c r="V49" s="279" t="s">
        <v>49</v>
      </c>
    </row>
    <row r="50" spans="1:22" s="7" customFormat="1" ht="25.2" customHeight="1" x14ac:dyDescent="0.3">
      <c r="A50" s="349"/>
      <c r="B50" s="352"/>
      <c r="C50" s="312"/>
      <c r="D50" s="309"/>
      <c r="E50" s="8">
        <v>8</v>
      </c>
      <c r="F50" s="16" t="s">
        <v>63</v>
      </c>
      <c r="G50" s="10">
        <v>8284</v>
      </c>
      <c r="H50" s="8"/>
      <c r="I50" s="8"/>
      <c r="J50" s="61"/>
      <c r="K50" s="8"/>
      <c r="L50" s="8"/>
      <c r="M50" s="8"/>
      <c r="N50" s="61">
        <v>2.0625</v>
      </c>
      <c r="O50" s="8">
        <f>0.0283*73</f>
        <v>2.0659000000000001</v>
      </c>
      <c r="P50" s="8"/>
      <c r="Q50" s="8"/>
      <c r="R50" s="5">
        <f t="shared" si="7"/>
        <v>2.0625</v>
      </c>
      <c r="S50" s="6">
        <f t="shared" si="8"/>
        <v>1.247806884869018</v>
      </c>
      <c r="T50" s="21" t="s">
        <v>48</v>
      </c>
      <c r="U50" s="22">
        <v>900</v>
      </c>
      <c r="V50" s="150" t="s">
        <v>49</v>
      </c>
    </row>
    <row r="51" spans="1:22" s="266" customFormat="1" ht="25.2" customHeight="1" x14ac:dyDescent="0.3">
      <c r="A51" s="350"/>
      <c r="B51" s="353"/>
      <c r="C51" s="313"/>
      <c r="D51" s="310"/>
      <c r="E51" s="240">
        <v>9</v>
      </c>
      <c r="F51" s="241" t="s">
        <v>64</v>
      </c>
      <c r="G51" s="227">
        <v>8287</v>
      </c>
      <c r="H51" s="240"/>
      <c r="I51" s="240"/>
      <c r="J51" s="255"/>
      <c r="K51" s="240"/>
      <c r="L51" s="240"/>
      <c r="M51" s="240"/>
      <c r="N51" s="255">
        <v>2.0625</v>
      </c>
      <c r="O51" s="240">
        <f>0.0283*73</f>
        <v>2.0659000000000001</v>
      </c>
      <c r="P51" s="240"/>
      <c r="Q51" s="240"/>
      <c r="R51" s="256">
        <f t="shared" si="7"/>
        <v>2.0625</v>
      </c>
      <c r="S51" s="257">
        <f t="shared" si="8"/>
        <v>1.247806884869018</v>
      </c>
      <c r="T51" s="258" t="s">
        <v>48</v>
      </c>
      <c r="U51" s="259">
        <v>900</v>
      </c>
      <c r="V51" s="254">
        <v>1</v>
      </c>
    </row>
    <row r="52" spans="1:22" s="266" customFormat="1" ht="25.2" customHeight="1" x14ac:dyDescent="0.3">
      <c r="A52" s="354">
        <v>13</v>
      </c>
      <c r="B52" s="357" t="s">
        <v>60</v>
      </c>
      <c r="C52" s="330" t="s">
        <v>65</v>
      </c>
      <c r="D52" s="334" t="s">
        <v>29</v>
      </c>
      <c r="E52" s="240">
        <v>10</v>
      </c>
      <c r="F52" s="241" t="s">
        <v>66</v>
      </c>
      <c r="G52" s="227">
        <v>8283</v>
      </c>
      <c r="H52" s="240"/>
      <c r="I52" s="240"/>
      <c r="J52" s="255"/>
      <c r="K52" s="240"/>
      <c r="L52" s="240"/>
      <c r="M52" s="240"/>
      <c r="N52" s="255">
        <v>0.82499999999999996</v>
      </c>
      <c r="O52" s="240">
        <f>0.0113*73</f>
        <v>0.82489999999999997</v>
      </c>
      <c r="P52" s="240"/>
      <c r="Q52" s="240"/>
      <c r="R52" s="256">
        <f t="shared" si="7"/>
        <v>0.82499999999999996</v>
      </c>
      <c r="S52" s="257">
        <f t="shared" si="8"/>
        <v>0.49912275394760719</v>
      </c>
      <c r="T52" s="337" t="s">
        <v>48</v>
      </c>
      <c r="U52" s="339">
        <v>720</v>
      </c>
      <c r="V52" s="326" t="s">
        <v>49</v>
      </c>
    </row>
    <row r="53" spans="1:22" s="266" customFormat="1" ht="25.2" customHeight="1" x14ac:dyDescent="0.3">
      <c r="A53" s="355"/>
      <c r="B53" s="358"/>
      <c r="C53" s="331"/>
      <c r="D53" s="335"/>
      <c r="E53" s="240"/>
      <c r="F53" s="241" t="s">
        <v>67</v>
      </c>
      <c r="G53" s="227">
        <v>8282</v>
      </c>
      <c r="H53" s="240"/>
      <c r="I53" s="240"/>
      <c r="J53" s="255"/>
      <c r="K53" s="240"/>
      <c r="L53" s="240"/>
      <c r="M53" s="240"/>
      <c r="N53" s="255">
        <v>0.82499999999999996</v>
      </c>
      <c r="O53" s="240">
        <f>0.0113*73</f>
        <v>0.82489999999999997</v>
      </c>
      <c r="P53" s="240"/>
      <c r="Q53" s="240"/>
      <c r="R53" s="256">
        <f t="shared" si="7"/>
        <v>0.82499999999999996</v>
      </c>
      <c r="S53" s="257">
        <f t="shared" si="8"/>
        <v>0.49912275394760719</v>
      </c>
      <c r="T53" s="338"/>
      <c r="U53" s="340"/>
      <c r="V53" s="327"/>
    </row>
    <row r="54" spans="1:22" s="266" customFormat="1" ht="25.2" customHeight="1" x14ac:dyDescent="0.3">
      <c r="A54" s="355"/>
      <c r="B54" s="358"/>
      <c r="C54" s="331"/>
      <c r="D54" s="335"/>
      <c r="E54" s="240">
        <v>11</v>
      </c>
      <c r="F54" s="241" t="s">
        <v>68</v>
      </c>
      <c r="G54" s="227">
        <v>8292</v>
      </c>
      <c r="H54" s="240"/>
      <c r="I54" s="240"/>
      <c r="J54" s="255"/>
      <c r="K54" s="240"/>
      <c r="L54" s="240"/>
      <c r="M54" s="240"/>
      <c r="N54" s="255">
        <v>0.82499999999999996</v>
      </c>
      <c r="O54" s="240">
        <f>0.0113*73</f>
        <v>0.82489999999999997</v>
      </c>
      <c r="P54" s="240"/>
      <c r="Q54" s="240"/>
      <c r="R54" s="256">
        <f t="shared" si="7"/>
        <v>0.82499999999999996</v>
      </c>
      <c r="S54" s="257">
        <f t="shared" si="8"/>
        <v>0.49912275394760719</v>
      </c>
      <c r="T54" s="337" t="s">
        <v>48</v>
      </c>
      <c r="U54" s="339">
        <v>720</v>
      </c>
      <c r="V54" s="326" t="s">
        <v>49</v>
      </c>
    </row>
    <row r="55" spans="1:22" s="266" customFormat="1" ht="25.2" customHeight="1" x14ac:dyDescent="0.3">
      <c r="A55" s="356"/>
      <c r="B55" s="359"/>
      <c r="C55" s="332"/>
      <c r="D55" s="336"/>
      <c r="E55" s="240"/>
      <c r="F55" s="241" t="s">
        <v>69</v>
      </c>
      <c r="G55" s="227">
        <v>8302</v>
      </c>
      <c r="H55" s="240"/>
      <c r="I55" s="240"/>
      <c r="J55" s="255"/>
      <c r="K55" s="240"/>
      <c r="L55" s="240"/>
      <c r="M55" s="240"/>
      <c r="N55" s="255">
        <v>0.82499999999999996</v>
      </c>
      <c r="O55" s="240">
        <f>0.0113*73</f>
        <v>0.82489999999999997</v>
      </c>
      <c r="P55" s="240"/>
      <c r="Q55" s="240"/>
      <c r="R55" s="256">
        <f t="shared" si="7"/>
        <v>0.82499999999999996</v>
      </c>
      <c r="S55" s="257">
        <f t="shared" si="8"/>
        <v>0.49912275394760719</v>
      </c>
      <c r="T55" s="338"/>
      <c r="U55" s="340"/>
      <c r="V55" s="327"/>
    </row>
    <row r="56" spans="1:22" s="7" customFormat="1" ht="25.2" customHeight="1" x14ac:dyDescent="0.3">
      <c r="A56" s="311">
        <v>14</v>
      </c>
      <c r="B56" s="311" t="s">
        <v>36</v>
      </c>
      <c r="C56" s="311" t="s">
        <v>37</v>
      </c>
      <c r="D56" s="293" t="s">
        <v>203</v>
      </c>
      <c r="E56" s="8">
        <v>12</v>
      </c>
      <c r="F56" s="16" t="s">
        <v>38</v>
      </c>
      <c r="G56" s="10"/>
      <c r="H56" s="8"/>
      <c r="I56" s="8"/>
      <c r="J56" s="61"/>
      <c r="K56" s="8"/>
      <c r="L56" s="61"/>
      <c r="M56" s="8"/>
      <c r="N56" s="61">
        <v>2.2999999999999998</v>
      </c>
      <c r="O56" s="8"/>
      <c r="P56" s="61">
        <v>0.52500000000000002</v>
      </c>
      <c r="Q56" s="8"/>
      <c r="R56" s="5">
        <f t="shared" si="7"/>
        <v>2.8249999999999997</v>
      </c>
      <c r="S56" s="6">
        <f t="shared" si="8"/>
        <v>1.7091173089721095</v>
      </c>
      <c r="T56" s="21" t="s">
        <v>51</v>
      </c>
      <c r="U56" s="22">
        <v>1340</v>
      </c>
      <c r="V56" s="139">
        <v>1</v>
      </c>
    </row>
    <row r="57" spans="1:22" s="7" customFormat="1" ht="25.2" customHeight="1" x14ac:dyDescent="0.3">
      <c r="A57" s="312"/>
      <c r="B57" s="312"/>
      <c r="C57" s="312"/>
      <c r="D57" s="294"/>
      <c r="E57" s="8">
        <v>13</v>
      </c>
      <c r="F57" s="16" t="s">
        <v>39</v>
      </c>
      <c r="G57" s="10"/>
      <c r="H57" s="8"/>
      <c r="I57" s="8"/>
      <c r="J57" s="61"/>
      <c r="K57" s="8"/>
      <c r="L57" s="61"/>
      <c r="M57" s="8"/>
      <c r="N57" s="61">
        <v>1</v>
      </c>
      <c r="O57" s="8"/>
      <c r="P57" s="61">
        <v>0.52500000000000002</v>
      </c>
      <c r="Q57" s="8"/>
      <c r="R57" s="5">
        <f t="shared" si="7"/>
        <v>1.5249999999999999</v>
      </c>
      <c r="S57" s="6">
        <f t="shared" si="8"/>
        <v>0.92262084820618295</v>
      </c>
      <c r="T57" s="21" t="s">
        <v>51</v>
      </c>
      <c r="U57" s="22">
        <v>1080</v>
      </c>
      <c r="V57" s="139" t="s">
        <v>49</v>
      </c>
    </row>
    <row r="58" spans="1:22" s="7" customFormat="1" ht="25.2" customHeight="1" x14ac:dyDescent="0.3">
      <c r="A58" s="312"/>
      <c r="B58" s="312"/>
      <c r="C58" s="312"/>
      <c r="D58" s="294"/>
      <c r="E58" s="8"/>
      <c r="F58" s="116" t="s">
        <v>146</v>
      </c>
      <c r="G58" s="10"/>
      <c r="H58" s="8"/>
      <c r="I58" s="8"/>
      <c r="J58" s="57"/>
      <c r="K58" s="10"/>
      <c r="L58" s="57"/>
      <c r="M58" s="8"/>
      <c r="N58" s="57">
        <f>0.45/2</f>
        <v>0.22500000000000001</v>
      </c>
      <c r="O58" s="10"/>
      <c r="P58" s="57"/>
      <c r="Q58" s="10"/>
      <c r="R58" s="117">
        <f t="shared" si="7"/>
        <v>0.22500000000000001</v>
      </c>
      <c r="S58" s="6">
        <f t="shared" si="8"/>
        <v>0.13612438744025651</v>
      </c>
      <c r="T58" s="21"/>
      <c r="U58" s="22"/>
      <c r="V58" s="139"/>
    </row>
    <row r="59" spans="1:22" s="7" customFormat="1" ht="25.2" customHeight="1" x14ac:dyDescent="0.3">
      <c r="A59" s="313"/>
      <c r="B59" s="313"/>
      <c r="C59" s="313"/>
      <c r="D59" s="295"/>
      <c r="E59" s="8"/>
      <c r="F59" s="116" t="s">
        <v>147</v>
      </c>
      <c r="G59" s="10"/>
      <c r="H59" s="8"/>
      <c r="I59" s="8"/>
      <c r="J59" s="57"/>
      <c r="K59" s="10"/>
      <c r="L59" s="57"/>
      <c r="M59" s="8"/>
      <c r="N59" s="57">
        <f>0.45/2</f>
        <v>0.22500000000000001</v>
      </c>
      <c r="O59" s="10"/>
      <c r="P59" s="57"/>
      <c r="Q59" s="10"/>
      <c r="R59" s="117">
        <f t="shared" si="7"/>
        <v>0.22500000000000001</v>
      </c>
      <c r="S59" s="6">
        <f t="shared" si="8"/>
        <v>0.13612438744025651</v>
      </c>
      <c r="T59" s="21"/>
      <c r="U59" s="22"/>
      <c r="V59" s="139"/>
    </row>
    <row r="60" spans="1:22" s="7" customFormat="1" ht="25.2" customHeight="1" x14ac:dyDescent="0.3">
      <c r="A60" s="17"/>
      <c r="B60" s="248"/>
      <c r="C60" s="107"/>
      <c r="D60" s="30"/>
      <c r="E60" s="8">
        <v>14</v>
      </c>
      <c r="F60" s="243" t="s">
        <v>145</v>
      </c>
      <c r="G60" s="36"/>
      <c r="H60" s="59"/>
      <c r="I60" s="59"/>
      <c r="J60" s="62"/>
      <c r="K60" s="59"/>
      <c r="L60" s="62"/>
      <c r="M60" s="59"/>
      <c r="N60" s="62">
        <v>1.875</v>
      </c>
      <c r="O60" s="59"/>
      <c r="P60" s="62">
        <v>0.52500000000000002</v>
      </c>
      <c r="Q60" s="59"/>
      <c r="R60" s="37">
        <f>H60+N60+P60</f>
        <v>2.4</v>
      </c>
      <c r="S60" s="38">
        <f>R60/1.6529</f>
        <v>1.4519934660294027</v>
      </c>
      <c r="T60" s="39" t="s">
        <v>191</v>
      </c>
      <c r="U60" s="115"/>
      <c r="V60" s="141"/>
    </row>
    <row r="61" spans="1:22" s="7" customFormat="1" ht="25.2" customHeight="1" x14ac:dyDescent="0.3">
      <c r="A61" s="17">
        <v>15</v>
      </c>
      <c r="B61" s="249" t="s">
        <v>204</v>
      </c>
      <c r="C61" s="17" t="s">
        <v>202</v>
      </c>
      <c r="D61" s="3" t="s">
        <v>70</v>
      </c>
      <c r="E61" s="8">
        <v>15</v>
      </c>
      <c r="F61" s="243" t="s">
        <v>71</v>
      </c>
      <c r="G61" s="36">
        <v>8331</v>
      </c>
      <c r="H61" s="59"/>
      <c r="I61" s="59"/>
      <c r="J61" s="62"/>
      <c r="K61" s="59"/>
      <c r="L61" s="62"/>
      <c r="M61" s="59"/>
      <c r="N61" s="62">
        <f>3.125+3.75</f>
        <v>6.875</v>
      </c>
      <c r="O61" s="59"/>
      <c r="P61" s="62">
        <f>0.875+1.05</f>
        <v>1.925</v>
      </c>
      <c r="Q61" s="59">
        <f>21*0.0417</f>
        <v>0.87570000000000003</v>
      </c>
      <c r="R61" s="37">
        <f t="shared" si="7"/>
        <v>8.8000000000000007</v>
      </c>
      <c r="S61" s="38">
        <f t="shared" si="8"/>
        <v>5.3239760421078106</v>
      </c>
      <c r="T61" s="39" t="s">
        <v>191</v>
      </c>
      <c r="U61" s="40"/>
      <c r="V61" s="141"/>
    </row>
    <row r="62" spans="1:22" s="7" customFormat="1" ht="25.2" customHeight="1" x14ac:dyDescent="0.3">
      <c r="A62" s="311">
        <v>16</v>
      </c>
      <c r="B62" s="345" t="s">
        <v>72</v>
      </c>
      <c r="C62" s="345" t="s">
        <v>73</v>
      </c>
      <c r="D62" s="308" t="s">
        <v>29</v>
      </c>
      <c r="E62" s="8">
        <v>16</v>
      </c>
      <c r="F62" s="16" t="s">
        <v>74</v>
      </c>
      <c r="G62" s="8"/>
      <c r="H62" s="8"/>
      <c r="I62" s="8"/>
      <c r="J62" s="60"/>
      <c r="K62" s="8"/>
      <c r="L62" s="61"/>
      <c r="M62" s="8"/>
      <c r="N62" s="60">
        <v>1.325</v>
      </c>
      <c r="O62" s="8"/>
      <c r="P62" s="61"/>
      <c r="Q62" s="8"/>
      <c r="R62" s="5">
        <f t="shared" si="7"/>
        <v>1.325</v>
      </c>
      <c r="S62" s="6">
        <f t="shared" si="8"/>
        <v>0.80162139270373278</v>
      </c>
      <c r="T62" s="341" t="s">
        <v>51</v>
      </c>
      <c r="U62" s="343">
        <v>1080</v>
      </c>
      <c r="V62" s="139" t="s">
        <v>49</v>
      </c>
    </row>
    <row r="63" spans="1:22" s="7" customFormat="1" ht="25.2" customHeight="1" x14ac:dyDescent="0.35">
      <c r="A63" s="312"/>
      <c r="B63" s="347"/>
      <c r="C63" s="347"/>
      <c r="D63" s="309"/>
      <c r="E63" s="8"/>
      <c r="F63" s="16" t="s">
        <v>75</v>
      </c>
      <c r="G63" s="8"/>
      <c r="H63" s="8"/>
      <c r="I63" s="8"/>
      <c r="J63" s="60"/>
      <c r="K63" s="8"/>
      <c r="L63" s="61"/>
      <c r="M63" s="8"/>
      <c r="N63" s="60">
        <f>2.65/2</f>
        <v>1.325</v>
      </c>
      <c r="O63" s="8"/>
      <c r="P63" s="61"/>
      <c r="Q63" s="8"/>
      <c r="R63" s="5">
        <f t="shared" si="7"/>
        <v>1.325</v>
      </c>
      <c r="S63" s="6">
        <f t="shared" si="8"/>
        <v>0.80162139270373278</v>
      </c>
      <c r="T63" s="342"/>
      <c r="U63" s="344"/>
      <c r="V63" s="151" t="s">
        <v>49</v>
      </c>
    </row>
    <row r="64" spans="1:22" s="266" customFormat="1" ht="25.2" customHeight="1" x14ac:dyDescent="0.3">
      <c r="A64" s="313"/>
      <c r="B64" s="346"/>
      <c r="C64" s="346"/>
      <c r="D64" s="310"/>
      <c r="E64" s="240">
        <v>17</v>
      </c>
      <c r="F64" s="241" t="s">
        <v>76</v>
      </c>
      <c r="G64" s="240"/>
      <c r="H64" s="240"/>
      <c r="I64" s="240"/>
      <c r="J64" s="268"/>
      <c r="K64" s="240"/>
      <c r="L64" s="255"/>
      <c r="M64" s="240"/>
      <c r="N64" s="268">
        <v>1.6525000000000001</v>
      </c>
      <c r="O64" s="240"/>
      <c r="P64" s="255"/>
      <c r="Q64" s="240"/>
      <c r="R64" s="256">
        <f t="shared" si="7"/>
        <v>1.6525000000000001</v>
      </c>
      <c r="S64" s="257">
        <f t="shared" si="8"/>
        <v>0.99975800108899515</v>
      </c>
      <c r="T64" s="258" t="s">
        <v>48</v>
      </c>
      <c r="U64" s="259">
        <v>720</v>
      </c>
      <c r="V64" s="254" t="s">
        <v>49</v>
      </c>
    </row>
    <row r="65" spans="1:22" s="7" customFormat="1" ht="25.2" customHeight="1" x14ac:dyDescent="0.3">
      <c r="A65" s="17">
        <v>17</v>
      </c>
      <c r="B65" s="26" t="s">
        <v>72</v>
      </c>
      <c r="C65" s="251" t="s">
        <v>77</v>
      </c>
      <c r="D65" s="15" t="s">
        <v>29</v>
      </c>
      <c r="E65" s="8"/>
      <c r="F65" s="26" t="s">
        <v>79</v>
      </c>
      <c r="G65" s="8"/>
      <c r="H65" s="8">
        <v>0.8125</v>
      </c>
      <c r="I65" s="8"/>
      <c r="J65" s="60"/>
      <c r="K65" s="8"/>
      <c r="L65" s="61"/>
      <c r="M65" s="8"/>
      <c r="N65" s="60"/>
      <c r="O65" s="8"/>
      <c r="P65" s="61"/>
      <c r="Q65" s="8"/>
      <c r="R65" s="5">
        <f>H65+N65+P65</f>
        <v>0.8125</v>
      </c>
      <c r="S65" s="6">
        <f>R65/1.6529</f>
        <v>0.4915602879787041</v>
      </c>
      <c r="T65" s="21"/>
      <c r="U65" s="22"/>
      <c r="V65" s="139"/>
    </row>
    <row r="66" spans="1:22" s="262" customFormat="1" ht="25.2" customHeight="1" x14ac:dyDescent="0.35">
      <c r="A66" s="330">
        <v>18</v>
      </c>
      <c r="B66" s="333" t="s">
        <v>72</v>
      </c>
      <c r="C66" s="320" t="s">
        <v>81</v>
      </c>
      <c r="D66" s="334" t="s">
        <v>25</v>
      </c>
      <c r="E66" s="281">
        <v>19</v>
      </c>
      <c r="F66" s="282" t="s">
        <v>144</v>
      </c>
      <c r="G66" s="283"/>
      <c r="H66" s="240"/>
      <c r="I66" s="281"/>
      <c r="J66" s="284"/>
      <c r="K66" s="283"/>
      <c r="L66" s="285"/>
      <c r="M66" s="281"/>
      <c r="N66" s="284">
        <f>0.0165*100</f>
        <v>1.6500000000000001</v>
      </c>
      <c r="O66" s="283"/>
      <c r="P66" s="285"/>
      <c r="Q66" s="281"/>
      <c r="R66" s="286">
        <f t="shared" si="7"/>
        <v>1.6500000000000001</v>
      </c>
      <c r="S66" s="257">
        <f t="shared" si="8"/>
        <v>0.99824550789521449</v>
      </c>
      <c r="T66" s="258" t="s">
        <v>48</v>
      </c>
      <c r="U66" s="259">
        <v>720</v>
      </c>
      <c r="V66" s="261" t="s">
        <v>49</v>
      </c>
    </row>
    <row r="67" spans="1:22" s="262" customFormat="1" ht="25.2" customHeight="1" x14ac:dyDescent="0.35">
      <c r="A67" s="331"/>
      <c r="B67" s="333"/>
      <c r="C67" s="333"/>
      <c r="D67" s="335"/>
      <c r="E67" s="240">
        <v>20</v>
      </c>
      <c r="F67" s="260" t="s">
        <v>82</v>
      </c>
      <c r="G67" s="227"/>
      <c r="H67" s="240"/>
      <c r="I67" s="240"/>
      <c r="J67" s="255"/>
      <c r="K67" s="227"/>
      <c r="L67" s="255"/>
      <c r="M67" s="240"/>
      <c r="N67" s="255">
        <f>0.0165*100</f>
        <v>1.6500000000000001</v>
      </c>
      <c r="O67" s="227"/>
      <c r="P67" s="255"/>
      <c r="Q67" s="240"/>
      <c r="R67" s="256">
        <f t="shared" si="7"/>
        <v>1.6500000000000001</v>
      </c>
      <c r="S67" s="257">
        <f t="shared" si="8"/>
        <v>0.99824550789521449</v>
      </c>
      <c r="T67" s="258" t="s">
        <v>48</v>
      </c>
      <c r="U67" s="259">
        <v>720</v>
      </c>
      <c r="V67" s="261" t="s">
        <v>49</v>
      </c>
    </row>
    <row r="68" spans="1:22" s="262" customFormat="1" ht="25.2" customHeight="1" x14ac:dyDescent="0.35">
      <c r="A68" s="331"/>
      <c r="B68" s="333"/>
      <c r="C68" s="333"/>
      <c r="D68" s="335"/>
      <c r="E68" s="240">
        <v>21</v>
      </c>
      <c r="F68" s="260" t="s">
        <v>83</v>
      </c>
      <c r="G68" s="227"/>
      <c r="H68" s="240"/>
      <c r="I68" s="240"/>
      <c r="J68" s="255"/>
      <c r="K68" s="227"/>
      <c r="L68" s="255"/>
      <c r="M68" s="240"/>
      <c r="N68" s="255">
        <f>0.020625*100</f>
        <v>2.0625</v>
      </c>
      <c r="O68" s="227"/>
      <c r="P68" s="255"/>
      <c r="Q68" s="240"/>
      <c r="R68" s="256">
        <f t="shared" si="7"/>
        <v>2.0625</v>
      </c>
      <c r="S68" s="257">
        <f t="shared" si="8"/>
        <v>1.247806884869018</v>
      </c>
      <c r="T68" s="258" t="s">
        <v>51</v>
      </c>
      <c r="U68" s="259">
        <v>1080</v>
      </c>
      <c r="V68" s="261" t="s">
        <v>49</v>
      </c>
    </row>
    <row r="69" spans="1:22" s="262" customFormat="1" ht="25.2" customHeight="1" x14ac:dyDescent="0.35">
      <c r="A69" s="331"/>
      <c r="B69" s="333"/>
      <c r="C69" s="333"/>
      <c r="D69" s="335"/>
      <c r="E69" s="240">
        <v>22</v>
      </c>
      <c r="F69" s="260" t="s">
        <v>84</v>
      </c>
      <c r="G69" s="227"/>
      <c r="H69" s="240"/>
      <c r="I69" s="240"/>
      <c r="J69" s="255"/>
      <c r="K69" s="227"/>
      <c r="L69" s="255"/>
      <c r="M69" s="240"/>
      <c r="N69" s="255">
        <f>0.020625*100</f>
        <v>2.0625</v>
      </c>
      <c r="O69" s="227"/>
      <c r="P69" s="255"/>
      <c r="Q69" s="240"/>
      <c r="R69" s="256">
        <f t="shared" si="7"/>
        <v>2.0625</v>
      </c>
      <c r="S69" s="257">
        <f t="shared" si="8"/>
        <v>1.247806884869018</v>
      </c>
      <c r="T69" s="258" t="s">
        <v>51</v>
      </c>
      <c r="U69" s="259">
        <v>900</v>
      </c>
      <c r="V69" s="261" t="s">
        <v>49</v>
      </c>
    </row>
    <row r="70" spans="1:22" s="262" customFormat="1" ht="25.2" customHeight="1" x14ac:dyDescent="0.35">
      <c r="A70" s="331"/>
      <c r="B70" s="333"/>
      <c r="C70" s="333"/>
      <c r="D70" s="335"/>
      <c r="E70" s="240">
        <v>23</v>
      </c>
      <c r="F70" s="260" t="s">
        <v>85</v>
      </c>
      <c r="G70" s="227"/>
      <c r="H70" s="240"/>
      <c r="I70" s="240"/>
      <c r="J70" s="255"/>
      <c r="K70" s="227"/>
      <c r="L70" s="255"/>
      <c r="M70" s="240"/>
      <c r="N70" s="255">
        <v>0.82499999999999996</v>
      </c>
      <c r="O70" s="227"/>
      <c r="P70" s="255"/>
      <c r="Q70" s="240"/>
      <c r="R70" s="256">
        <f t="shared" si="7"/>
        <v>0.82499999999999996</v>
      </c>
      <c r="S70" s="257">
        <f t="shared" si="8"/>
        <v>0.49912275394760719</v>
      </c>
      <c r="T70" s="337" t="s">
        <v>48</v>
      </c>
      <c r="U70" s="339">
        <v>720</v>
      </c>
      <c r="V70" s="326" t="s">
        <v>49</v>
      </c>
    </row>
    <row r="71" spans="1:22" s="262" customFormat="1" ht="25.2" customHeight="1" x14ac:dyDescent="0.35">
      <c r="A71" s="331"/>
      <c r="B71" s="333"/>
      <c r="C71" s="333"/>
      <c r="D71" s="335"/>
      <c r="E71" s="240"/>
      <c r="F71" s="260" t="s">
        <v>86</v>
      </c>
      <c r="G71" s="227"/>
      <c r="H71" s="240"/>
      <c r="I71" s="240"/>
      <c r="J71" s="255"/>
      <c r="K71" s="227"/>
      <c r="L71" s="255"/>
      <c r="M71" s="240"/>
      <c r="N71" s="255">
        <v>0.82499999999999996</v>
      </c>
      <c r="O71" s="227"/>
      <c r="P71" s="255"/>
      <c r="Q71" s="240"/>
      <c r="R71" s="256">
        <f t="shared" si="7"/>
        <v>0.82499999999999996</v>
      </c>
      <c r="S71" s="257">
        <f t="shared" si="8"/>
        <v>0.49912275394760719</v>
      </c>
      <c r="T71" s="338"/>
      <c r="U71" s="340"/>
      <c r="V71" s="327"/>
    </row>
    <row r="72" spans="1:22" s="262" customFormat="1" ht="25.2" customHeight="1" x14ac:dyDescent="0.35">
      <c r="A72" s="332"/>
      <c r="B72" s="321"/>
      <c r="C72" s="321"/>
      <c r="D72" s="336"/>
      <c r="E72" s="240">
        <v>24</v>
      </c>
      <c r="F72" s="260" t="s">
        <v>87</v>
      </c>
      <c r="G72" s="227"/>
      <c r="H72" s="240"/>
      <c r="I72" s="240"/>
      <c r="J72" s="255"/>
      <c r="K72" s="227"/>
      <c r="L72" s="255"/>
      <c r="M72" s="240"/>
      <c r="N72" s="255">
        <f>0.026425*100</f>
        <v>2.6425000000000001</v>
      </c>
      <c r="O72" s="227"/>
      <c r="P72" s="255"/>
      <c r="Q72" s="240"/>
      <c r="R72" s="256">
        <f t="shared" si="7"/>
        <v>2.6425000000000001</v>
      </c>
      <c r="S72" s="257">
        <f t="shared" si="8"/>
        <v>1.5987053058261238</v>
      </c>
      <c r="T72" s="258" t="s">
        <v>51</v>
      </c>
      <c r="U72" s="259">
        <v>1080</v>
      </c>
      <c r="V72" s="261" t="s">
        <v>49</v>
      </c>
    </row>
    <row r="73" spans="1:22" s="12" customFormat="1" ht="25.2" customHeight="1" x14ac:dyDescent="0.35">
      <c r="A73" s="311">
        <v>19</v>
      </c>
      <c r="B73" s="345" t="s">
        <v>72</v>
      </c>
      <c r="C73" s="345" t="s">
        <v>88</v>
      </c>
      <c r="D73" s="15" t="s">
        <v>25</v>
      </c>
      <c r="E73" s="8">
        <v>18</v>
      </c>
      <c r="F73" s="26" t="s">
        <v>79</v>
      </c>
      <c r="G73" s="10"/>
      <c r="H73" s="8"/>
      <c r="I73" s="8"/>
      <c r="J73" s="61"/>
      <c r="K73" s="10"/>
      <c r="L73" s="61"/>
      <c r="M73" s="8"/>
      <c r="N73" s="61"/>
      <c r="O73" s="10"/>
      <c r="P73" s="61">
        <f>0.0408*100</f>
        <v>4.08</v>
      </c>
      <c r="Q73" s="8"/>
      <c r="R73" s="5">
        <f t="shared" ref="R73:R80" si="9">H73+N73+P73</f>
        <v>4.08</v>
      </c>
      <c r="S73" s="6">
        <f>R73/1.6529</f>
        <v>2.468388892249985</v>
      </c>
      <c r="T73" s="21"/>
      <c r="U73" s="22"/>
      <c r="V73" s="151"/>
    </row>
    <row r="74" spans="1:22" s="7" customFormat="1" ht="25.2" customHeight="1" x14ac:dyDescent="0.3">
      <c r="A74" s="313"/>
      <c r="B74" s="346"/>
      <c r="C74" s="346"/>
      <c r="D74" s="15" t="s">
        <v>29</v>
      </c>
      <c r="E74" s="8"/>
      <c r="F74" s="26" t="s">
        <v>79</v>
      </c>
      <c r="G74" s="8"/>
      <c r="H74" s="8"/>
      <c r="I74" s="8"/>
      <c r="J74" s="60"/>
      <c r="K74" s="8"/>
      <c r="L74" s="61"/>
      <c r="M74" s="8"/>
      <c r="N74" s="60"/>
      <c r="O74" s="8"/>
      <c r="P74" s="61">
        <v>4.09</v>
      </c>
      <c r="Q74" s="8"/>
      <c r="R74" s="5">
        <f t="shared" si="9"/>
        <v>4.09</v>
      </c>
      <c r="S74" s="6">
        <f>R74/1.6529</f>
        <v>2.4744388650251072</v>
      </c>
      <c r="T74" s="21"/>
      <c r="U74" s="22"/>
      <c r="V74" s="139"/>
    </row>
    <row r="75" spans="1:22" s="266" customFormat="1" ht="25.2" customHeight="1" x14ac:dyDescent="0.3">
      <c r="A75" s="318">
        <v>20</v>
      </c>
      <c r="B75" s="318" t="s">
        <v>206</v>
      </c>
      <c r="C75" s="320" t="s">
        <v>210</v>
      </c>
      <c r="D75" s="322" t="s">
        <v>192</v>
      </c>
      <c r="E75" s="240">
        <v>25</v>
      </c>
      <c r="F75" s="241" t="s">
        <v>90</v>
      </c>
      <c r="G75" s="240"/>
      <c r="H75" s="240"/>
      <c r="I75" s="240"/>
      <c r="J75" s="263"/>
      <c r="K75" s="264"/>
      <c r="L75" s="265"/>
      <c r="M75" s="240"/>
      <c r="N75" s="263">
        <v>1.2375</v>
      </c>
      <c r="O75" s="264"/>
      <c r="P75" s="265"/>
      <c r="Q75" s="240"/>
      <c r="R75" s="256">
        <f t="shared" si="9"/>
        <v>1.2375</v>
      </c>
      <c r="S75" s="257">
        <f t="shared" si="8"/>
        <v>0.74868413092141084</v>
      </c>
      <c r="T75" s="258" t="s">
        <v>48</v>
      </c>
      <c r="U75" s="259">
        <v>720</v>
      </c>
      <c r="V75" s="240" t="s">
        <v>49</v>
      </c>
    </row>
    <row r="76" spans="1:22" s="266" customFormat="1" ht="25.2" customHeight="1" x14ac:dyDescent="0.3">
      <c r="A76" s="319"/>
      <c r="B76" s="319"/>
      <c r="C76" s="321"/>
      <c r="D76" s="323"/>
      <c r="E76" s="240">
        <v>26</v>
      </c>
      <c r="F76" s="241" t="s">
        <v>92</v>
      </c>
      <c r="G76" s="240"/>
      <c r="H76" s="240"/>
      <c r="I76" s="240"/>
      <c r="J76" s="263"/>
      <c r="K76" s="264"/>
      <c r="L76" s="265"/>
      <c r="M76" s="240"/>
      <c r="N76" s="263">
        <v>1.2375</v>
      </c>
      <c r="O76" s="264"/>
      <c r="P76" s="265"/>
      <c r="Q76" s="240"/>
      <c r="R76" s="256">
        <f t="shared" si="9"/>
        <v>1.2375</v>
      </c>
      <c r="S76" s="257">
        <f t="shared" si="8"/>
        <v>0.74868413092141084</v>
      </c>
      <c r="T76" s="258" t="s">
        <v>91</v>
      </c>
      <c r="U76" s="259">
        <v>540</v>
      </c>
      <c r="V76" s="240" t="s">
        <v>49</v>
      </c>
    </row>
    <row r="77" spans="1:22" s="7" customFormat="1" ht="28.8" customHeight="1" x14ac:dyDescent="0.3">
      <c r="A77" s="250">
        <v>21</v>
      </c>
      <c r="B77" s="238" t="s">
        <v>206</v>
      </c>
      <c r="C77" s="231" t="s">
        <v>209</v>
      </c>
      <c r="D77" s="246" t="s">
        <v>32</v>
      </c>
      <c r="E77" s="8"/>
      <c r="F77" s="26" t="s">
        <v>79</v>
      </c>
      <c r="G77" s="8"/>
      <c r="H77" s="8"/>
      <c r="I77" s="8"/>
      <c r="J77" s="120"/>
      <c r="K77" s="56"/>
      <c r="L77" s="239"/>
      <c r="M77" s="8"/>
      <c r="N77" s="120"/>
      <c r="O77" s="56"/>
      <c r="P77" s="239">
        <v>0.81</v>
      </c>
      <c r="Q77" s="8"/>
      <c r="R77" s="5">
        <f t="shared" si="9"/>
        <v>0.81</v>
      </c>
      <c r="S77" s="6">
        <f t="shared" si="8"/>
        <v>0.4900477947849235</v>
      </c>
      <c r="T77" s="21"/>
      <c r="U77" s="22"/>
      <c r="V77" s="8"/>
    </row>
    <row r="78" spans="1:22" s="7" customFormat="1" ht="36.6" customHeight="1" x14ac:dyDescent="0.3">
      <c r="A78" s="250">
        <v>22</v>
      </c>
      <c r="B78" s="238" t="s">
        <v>206</v>
      </c>
      <c r="C78" s="231" t="s">
        <v>213</v>
      </c>
      <c r="D78" s="245" t="s">
        <v>195</v>
      </c>
      <c r="E78" s="8"/>
      <c r="F78" s="26" t="s">
        <v>79</v>
      </c>
      <c r="G78" s="8"/>
      <c r="H78" s="8"/>
      <c r="I78" s="8"/>
      <c r="J78" s="120"/>
      <c r="K78" s="56"/>
      <c r="L78" s="239"/>
      <c r="M78" s="8"/>
      <c r="N78" s="120"/>
      <c r="O78" s="56"/>
      <c r="P78" s="239">
        <v>3.27</v>
      </c>
      <c r="Q78" s="8"/>
      <c r="R78" s="5">
        <f t="shared" si="9"/>
        <v>3.27</v>
      </c>
      <c r="S78" s="6">
        <f>R78/1.6529</f>
        <v>1.9783410974650615</v>
      </c>
      <c r="T78" s="21"/>
      <c r="U78" s="22"/>
      <c r="V78" s="8"/>
    </row>
    <row r="79" spans="1:22" s="266" customFormat="1" ht="25.2" customHeight="1" x14ac:dyDescent="0.3">
      <c r="A79" s="318">
        <v>23</v>
      </c>
      <c r="B79" s="318" t="s">
        <v>206</v>
      </c>
      <c r="C79" s="320" t="s">
        <v>212</v>
      </c>
      <c r="D79" s="322" t="s">
        <v>194</v>
      </c>
      <c r="E79" s="240">
        <v>28</v>
      </c>
      <c r="F79" s="241" t="s">
        <v>95</v>
      </c>
      <c r="G79" s="240"/>
      <c r="H79" s="240"/>
      <c r="I79" s="240"/>
      <c r="J79" s="263"/>
      <c r="K79" s="264"/>
      <c r="L79" s="265"/>
      <c r="M79" s="240"/>
      <c r="N79" s="263">
        <v>1.65</v>
      </c>
      <c r="O79" s="264"/>
      <c r="P79" s="265"/>
      <c r="Q79" s="240"/>
      <c r="R79" s="256">
        <f t="shared" si="9"/>
        <v>1.65</v>
      </c>
      <c r="S79" s="257">
        <f>R79/1.6529</f>
        <v>0.99824550789521438</v>
      </c>
      <c r="T79" s="258" t="s">
        <v>48</v>
      </c>
      <c r="U79" s="259">
        <v>720</v>
      </c>
      <c r="V79" s="240" t="s">
        <v>49</v>
      </c>
    </row>
    <row r="80" spans="1:22" s="266" customFormat="1" ht="25.2" customHeight="1" x14ac:dyDescent="0.3">
      <c r="A80" s="319"/>
      <c r="B80" s="319"/>
      <c r="C80" s="321"/>
      <c r="D80" s="323"/>
      <c r="E80" s="240">
        <v>29</v>
      </c>
      <c r="F80" s="241" t="s">
        <v>122</v>
      </c>
      <c r="G80" s="240"/>
      <c r="H80" s="240"/>
      <c r="I80" s="240"/>
      <c r="J80" s="263"/>
      <c r="K80" s="264"/>
      <c r="L80" s="265"/>
      <c r="M80" s="240"/>
      <c r="N80" s="263">
        <v>1.65</v>
      </c>
      <c r="O80" s="264"/>
      <c r="P80" s="265"/>
      <c r="Q80" s="240"/>
      <c r="R80" s="256">
        <f t="shared" si="9"/>
        <v>1.65</v>
      </c>
      <c r="S80" s="257">
        <f>R80/1.6529</f>
        <v>0.99824550789521438</v>
      </c>
      <c r="T80" s="258" t="s">
        <v>48</v>
      </c>
      <c r="U80" s="259">
        <v>720</v>
      </c>
      <c r="V80" s="240" t="s">
        <v>49</v>
      </c>
    </row>
    <row r="81" spans="1:22" s="266" customFormat="1" ht="28.8" customHeight="1" x14ac:dyDescent="0.3">
      <c r="A81" s="318">
        <v>24</v>
      </c>
      <c r="B81" s="318" t="s">
        <v>206</v>
      </c>
      <c r="C81" s="320" t="s">
        <v>211</v>
      </c>
      <c r="D81" s="322" t="s">
        <v>193</v>
      </c>
      <c r="E81" s="240">
        <v>27</v>
      </c>
      <c r="F81" s="241" t="s">
        <v>93</v>
      </c>
      <c r="G81" s="240"/>
      <c r="H81" s="240"/>
      <c r="I81" s="240"/>
      <c r="J81" s="263"/>
      <c r="K81" s="264"/>
      <c r="L81" s="265"/>
      <c r="M81" s="240"/>
      <c r="N81" s="263">
        <v>0.82499999999999996</v>
      </c>
      <c r="O81" s="264"/>
      <c r="P81" s="265"/>
      <c r="Q81" s="240"/>
      <c r="R81" s="256">
        <f t="shared" si="7"/>
        <v>0.82499999999999996</v>
      </c>
      <c r="S81" s="257">
        <f t="shared" si="8"/>
        <v>0.49912275394760719</v>
      </c>
      <c r="T81" s="328" t="s">
        <v>48</v>
      </c>
      <c r="U81" s="329">
        <v>720</v>
      </c>
      <c r="V81" s="317" t="s">
        <v>49</v>
      </c>
    </row>
    <row r="82" spans="1:22" s="266" customFormat="1" ht="28.8" customHeight="1" x14ac:dyDescent="0.3">
      <c r="A82" s="319"/>
      <c r="B82" s="319"/>
      <c r="C82" s="321"/>
      <c r="D82" s="323"/>
      <c r="E82" s="240"/>
      <c r="F82" s="241" t="s">
        <v>94</v>
      </c>
      <c r="G82" s="240"/>
      <c r="H82" s="240"/>
      <c r="I82" s="240"/>
      <c r="J82" s="263"/>
      <c r="K82" s="264"/>
      <c r="L82" s="265"/>
      <c r="M82" s="240"/>
      <c r="N82" s="263">
        <v>0.82499999999999996</v>
      </c>
      <c r="O82" s="264"/>
      <c r="P82" s="265"/>
      <c r="Q82" s="240"/>
      <c r="R82" s="256">
        <f t="shared" si="7"/>
        <v>0.82499999999999996</v>
      </c>
      <c r="S82" s="257">
        <f t="shared" si="8"/>
        <v>0.49912275394760719</v>
      </c>
      <c r="T82" s="328"/>
      <c r="U82" s="329"/>
      <c r="V82" s="317"/>
    </row>
    <row r="83" spans="1:22" s="7" customFormat="1" ht="28.8" customHeight="1" x14ac:dyDescent="0.3">
      <c r="A83" s="250">
        <v>25</v>
      </c>
      <c r="B83" s="238" t="s">
        <v>206</v>
      </c>
      <c r="C83" s="231" t="s">
        <v>215</v>
      </c>
      <c r="D83" s="245" t="s">
        <v>193</v>
      </c>
      <c r="E83" s="8"/>
      <c r="F83" s="26" t="s">
        <v>79</v>
      </c>
      <c r="G83" s="8"/>
      <c r="H83" s="8"/>
      <c r="I83" s="8"/>
      <c r="J83" s="120"/>
      <c r="K83" s="56"/>
      <c r="L83" s="239"/>
      <c r="M83" s="8"/>
      <c r="N83" s="120"/>
      <c r="O83" s="56"/>
      <c r="P83" s="239">
        <v>0.75</v>
      </c>
      <c r="Q83" s="8"/>
      <c r="R83" s="5">
        <f t="shared" si="7"/>
        <v>0.75</v>
      </c>
      <c r="S83" s="6">
        <f t="shared" si="8"/>
        <v>0.45374795813418839</v>
      </c>
      <c r="T83" s="21"/>
      <c r="U83" s="22"/>
      <c r="V83" s="8"/>
    </row>
    <row r="84" spans="1:22" s="7" customFormat="1" ht="36.6" customHeight="1" x14ac:dyDescent="0.3">
      <c r="A84" s="250">
        <v>26</v>
      </c>
      <c r="B84" s="238" t="s">
        <v>206</v>
      </c>
      <c r="C84" s="231" t="s">
        <v>214</v>
      </c>
      <c r="D84" s="245" t="s">
        <v>197</v>
      </c>
      <c r="E84" s="8"/>
      <c r="F84" s="26" t="s">
        <v>79</v>
      </c>
      <c r="G84" s="8"/>
      <c r="H84" s="8"/>
      <c r="I84" s="8"/>
      <c r="J84" s="120"/>
      <c r="K84" s="56"/>
      <c r="L84" s="239"/>
      <c r="M84" s="8"/>
      <c r="N84" s="120"/>
      <c r="O84" s="56"/>
      <c r="P84" s="239">
        <v>0.75</v>
      </c>
      <c r="Q84" s="8"/>
      <c r="R84" s="5">
        <f t="shared" si="7"/>
        <v>0.75</v>
      </c>
      <c r="S84" s="6">
        <f t="shared" si="8"/>
        <v>0.45374795813418839</v>
      </c>
      <c r="T84" s="21"/>
      <c r="U84" s="22"/>
      <c r="V84" s="8"/>
    </row>
    <row r="85" spans="1:22" s="266" customFormat="1" ht="27.6" customHeight="1" x14ac:dyDescent="0.3">
      <c r="A85" s="287">
        <v>27</v>
      </c>
      <c r="B85" s="292" t="s">
        <v>205</v>
      </c>
      <c r="C85" s="288" t="s">
        <v>208</v>
      </c>
      <c r="D85" s="269" t="s">
        <v>194</v>
      </c>
      <c r="E85" s="240">
        <v>30</v>
      </c>
      <c r="F85" s="241" t="s">
        <v>190</v>
      </c>
      <c r="G85" s="240"/>
      <c r="H85" s="289"/>
      <c r="I85" s="240"/>
      <c r="J85" s="255"/>
      <c r="K85" s="240"/>
      <c r="L85" s="255"/>
      <c r="M85" s="240"/>
      <c r="N85" s="255">
        <v>1</v>
      </c>
      <c r="O85" s="240"/>
      <c r="P85" s="255"/>
      <c r="Q85" s="240"/>
      <c r="R85" s="256">
        <v>1</v>
      </c>
      <c r="S85" s="290">
        <f>R85/1.6529</f>
        <v>0.60499727751225119</v>
      </c>
      <c r="T85" s="258" t="s">
        <v>51</v>
      </c>
      <c r="U85" s="259">
        <v>1080</v>
      </c>
      <c r="V85" s="240"/>
    </row>
    <row r="86" spans="1:22" s="266" customFormat="1" ht="27.6" customHeight="1" x14ac:dyDescent="0.3">
      <c r="A86" s="287">
        <v>28</v>
      </c>
      <c r="B86" s="292" t="s">
        <v>205</v>
      </c>
      <c r="C86" s="288" t="s">
        <v>207</v>
      </c>
      <c r="D86" s="269" t="s">
        <v>194</v>
      </c>
      <c r="E86" s="240">
        <v>31</v>
      </c>
      <c r="F86" s="241" t="s">
        <v>216</v>
      </c>
      <c r="G86" s="240"/>
      <c r="H86" s="289"/>
      <c r="I86" s="240"/>
      <c r="J86" s="255"/>
      <c r="K86" s="240"/>
      <c r="L86" s="255"/>
      <c r="M86" s="240"/>
      <c r="N86" s="255">
        <v>0.41249999999999998</v>
      </c>
      <c r="O86" s="240"/>
      <c r="P86" s="255"/>
      <c r="Q86" s="240"/>
      <c r="R86" s="256">
        <v>0.41249999999999998</v>
      </c>
      <c r="S86" s="290">
        <f>R86/1.6529</f>
        <v>0.24956137697380359</v>
      </c>
      <c r="T86" s="258" t="s">
        <v>48</v>
      </c>
      <c r="U86" s="259">
        <v>720</v>
      </c>
      <c r="V86" s="240">
        <v>1</v>
      </c>
    </row>
    <row r="87" spans="1:22" s="7" customFormat="1" ht="25.2" customHeight="1" x14ac:dyDescent="0.3">
      <c r="A87" s="311">
        <v>29</v>
      </c>
      <c r="B87" s="311" t="s">
        <v>226</v>
      </c>
      <c r="C87" s="311" t="s">
        <v>227</v>
      </c>
      <c r="D87" s="324" t="s">
        <v>220</v>
      </c>
      <c r="E87" s="8">
        <v>38</v>
      </c>
      <c r="F87" s="253" t="s">
        <v>221</v>
      </c>
      <c r="G87" s="56"/>
      <c r="H87" s="56"/>
      <c r="I87" s="56"/>
      <c r="J87" s="239">
        <v>1</v>
      </c>
      <c r="K87" s="56"/>
      <c r="L87" s="239">
        <v>0.75</v>
      </c>
      <c r="M87" s="56"/>
      <c r="N87" s="61"/>
      <c r="O87" s="8"/>
      <c r="P87" s="61"/>
      <c r="Q87" s="8"/>
      <c r="R87" s="5"/>
      <c r="S87" s="6"/>
      <c r="T87" s="21"/>
      <c r="U87" s="22"/>
      <c r="V87" s="139"/>
    </row>
    <row r="88" spans="1:22" s="7" customFormat="1" ht="25.2" customHeight="1" x14ac:dyDescent="0.3">
      <c r="A88" s="312"/>
      <c r="B88" s="312"/>
      <c r="C88" s="312"/>
      <c r="D88" s="325"/>
      <c r="E88" s="8">
        <v>39</v>
      </c>
      <c r="F88" s="253" t="s">
        <v>222</v>
      </c>
      <c r="G88" s="56"/>
      <c r="H88" s="56"/>
      <c r="I88" s="56"/>
      <c r="J88" s="239">
        <v>1</v>
      </c>
      <c r="K88" s="56"/>
      <c r="L88" s="239">
        <v>0.65</v>
      </c>
      <c r="M88" s="56"/>
      <c r="N88" s="61"/>
      <c r="O88" s="8"/>
      <c r="P88" s="61"/>
      <c r="Q88" s="8"/>
      <c r="R88" s="5"/>
      <c r="S88" s="6"/>
      <c r="T88" s="21"/>
      <c r="U88" s="22"/>
      <c r="V88" s="139"/>
    </row>
    <row r="89" spans="1:22" s="7" customFormat="1" ht="25.2" customHeight="1" x14ac:dyDescent="0.3">
      <c r="A89" s="312"/>
      <c r="B89" s="312"/>
      <c r="C89" s="312"/>
      <c r="D89" s="325"/>
      <c r="E89" s="8">
        <v>40</v>
      </c>
      <c r="F89" s="253" t="s">
        <v>223</v>
      </c>
      <c r="G89" s="56"/>
      <c r="H89" s="56"/>
      <c r="I89" s="56"/>
      <c r="J89" s="239">
        <v>1</v>
      </c>
      <c r="K89" s="56"/>
      <c r="L89" s="239">
        <v>0</v>
      </c>
      <c r="M89" s="56"/>
      <c r="N89" s="57"/>
      <c r="O89" s="10"/>
      <c r="P89" s="57"/>
      <c r="Q89" s="10"/>
      <c r="R89" s="117"/>
      <c r="S89" s="6"/>
      <c r="T89" s="21"/>
      <c r="U89" s="22"/>
      <c r="V89" s="139"/>
    </row>
    <row r="90" spans="1:22" s="7" customFormat="1" ht="25.2" customHeight="1" x14ac:dyDescent="0.3">
      <c r="A90" s="296">
        <v>30</v>
      </c>
      <c r="B90" s="299" t="s">
        <v>218</v>
      </c>
      <c r="C90" s="302" t="s">
        <v>219</v>
      </c>
      <c r="D90" s="305" t="s">
        <v>196</v>
      </c>
      <c r="E90" s="8">
        <v>32</v>
      </c>
      <c r="F90" s="253" t="s">
        <v>96</v>
      </c>
      <c r="G90" s="56"/>
      <c r="H90" s="239">
        <v>0.5</v>
      </c>
      <c r="I90" s="56"/>
      <c r="J90" s="239"/>
      <c r="K90" s="56"/>
      <c r="L90" s="239"/>
      <c r="M90" s="56"/>
      <c r="N90" s="57"/>
      <c r="O90" s="10"/>
      <c r="P90" s="57"/>
      <c r="Q90" s="8"/>
      <c r="R90" s="5">
        <f t="shared" si="7"/>
        <v>0.5</v>
      </c>
      <c r="S90" s="6">
        <f t="shared" si="8"/>
        <v>0.30249863875612559</v>
      </c>
      <c r="T90" s="21" t="s">
        <v>48</v>
      </c>
      <c r="U90" s="22">
        <v>900</v>
      </c>
      <c r="V90" s="8">
        <v>1</v>
      </c>
    </row>
    <row r="91" spans="1:22" s="7" customFormat="1" ht="25.2" customHeight="1" x14ac:dyDescent="0.3">
      <c r="A91" s="297"/>
      <c r="B91" s="300"/>
      <c r="C91" s="303"/>
      <c r="D91" s="306"/>
      <c r="E91" s="8">
        <v>33</v>
      </c>
      <c r="F91" s="253" t="s">
        <v>123</v>
      </c>
      <c r="G91" s="56"/>
      <c r="H91" s="239">
        <v>0.5</v>
      </c>
      <c r="I91" s="56"/>
      <c r="J91" s="239"/>
      <c r="K91" s="56"/>
      <c r="L91" s="239"/>
      <c r="M91" s="56"/>
      <c r="N91" s="61"/>
      <c r="O91" s="8"/>
      <c r="P91" s="61"/>
      <c r="Q91" s="8"/>
      <c r="R91" s="5">
        <f t="shared" si="7"/>
        <v>0.5</v>
      </c>
      <c r="S91" s="6">
        <f t="shared" si="8"/>
        <v>0.30249863875612559</v>
      </c>
      <c r="T91" s="21" t="s">
        <v>48</v>
      </c>
      <c r="U91" s="22">
        <v>720</v>
      </c>
      <c r="V91" s="8" t="s">
        <v>49</v>
      </c>
    </row>
    <row r="92" spans="1:22" s="7" customFormat="1" ht="25.2" customHeight="1" x14ac:dyDescent="0.3">
      <c r="A92" s="297"/>
      <c r="B92" s="300"/>
      <c r="C92" s="303"/>
      <c r="D92" s="306"/>
      <c r="E92" s="8">
        <v>34</v>
      </c>
      <c r="F92" s="253" t="s">
        <v>97</v>
      </c>
      <c r="G92" s="56"/>
      <c r="H92" s="239">
        <v>0.5</v>
      </c>
      <c r="I92" s="56"/>
      <c r="J92" s="239"/>
      <c r="K92" s="56"/>
      <c r="L92" s="239"/>
      <c r="M92" s="56"/>
      <c r="N92" s="61"/>
      <c r="O92" s="8"/>
      <c r="P92" s="61"/>
      <c r="Q92" s="8"/>
      <c r="R92" s="5">
        <f t="shared" si="7"/>
        <v>0.5</v>
      </c>
      <c r="S92" s="6">
        <f t="shared" si="8"/>
        <v>0.30249863875612559</v>
      </c>
      <c r="T92" s="21" t="s">
        <v>48</v>
      </c>
      <c r="U92" s="22">
        <v>720</v>
      </c>
      <c r="V92" s="8">
        <v>1</v>
      </c>
    </row>
    <row r="93" spans="1:22" s="7" customFormat="1" ht="25.2" customHeight="1" x14ac:dyDescent="0.3">
      <c r="A93" s="297"/>
      <c r="B93" s="300"/>
      <c r="C93" s="303"/>
      <c r="D93" s="306"/>
      <c r="E93" s="8">
        <v>35</v>
      </c>
      <c r="F93" s="253" t="s">
        <v>124</v>
      </c>
      <c r="G93" s="56"/>
      <c r="H93" s="239">
        <v>0.5</v>
      </c>
      <c r="I93" s="56"/>
      <c r="J93" s="239"/>
      <c r="K93" s="56"/>
      <c r="L93" s="239"/>
      <c r="M93" s="56"/>
      <c r="N93" s="61"/>
      <c r="O93" s="8"/>
      <c r="P93" s="61"/>
      <c r="Q93" s="8"/>
      <c r="R93" s="5">
        <f t="shared" si="7"/>
        <v>0.5</v>
      </c>
      <c r="S93" s="6">
        <f t="shared" si="8"/>
        <v>0.30249863875612559</v>
      </c>
      <c r="T93" s="21" t="s">
        <v>48</v>
      </c>
      <c r="U93" s="22">
        <v>720</v>
      </c>
      <c r="V93" s="8">
        <v>1</v>
      </c>
    </row>
    <row r="94" spans="1:22" s="7" customFormat="1" ht="25.2" customHeight="1" x14ac:dyDescent="0.3">
      <c r="A94" s="297"/>
      <c r="B94" s="300"/>
      <c r="C94" s="303"/>
      <c r="D94" s="306"/>
      <c r="E94" s="8">
        <v>36</v>
      </c>
      <c r="F94" s="253" t="s">
        <v>98</v>
      </c>
      <c r="G94" s="56"/>
      <c r="H94" s="239">
        <v>0.6</v>
      </c>
      <c r="I94" s="56"/>
      <c r="J94" s="239"/>
      <c r="K94" s="56"/>
      <c r="L94" s="239"/>
      <c r="M94" s="56"/>
      <c r="N94" s="61"/>
      <c r="O94" s="8"/>
      <c r="P94" s="61"/>
      <c r="Q94" s="8"/>
      <c r="R94" s="5">
        <f>H94+N94+P94</f>
        <v>0.6</v>
      </c>
      <c r="S94" s="6">
        <f t="shared" si="8"/>
        <v>0.36299836650735068</v>
      </c>
      <c r="T94" s="21" t="s">
        <v>48</v>
      </c>
      <c r="U94" s="22">
        <v>900</v>
      </c>
      <c r="V94" s="8">
        <v>1</v>
      </c>
    </row>
    <row r="95" spans="1:22" s="7" customFormat="1" ht="25.2" customHeight="1" x14ac:dyDescent="0.3">
      <c r="A95" s="298"/>
      <c r="B95" s="301"/>
      <c r="C95" s="304"/>
      <c r="D95" s="307"/>
      <c r="E95" s="8">
        <v>37</v>
      </c>
      <c r="F95" s="253" t="s">
        <v>99</v>
      </c>
      <c r="G95" s="56"/>
      <c r="H95" s="239">
        <v>1.65</v>
      </c>
      <c r="I95" s="56"/>
      <c r="J95" s="239"/>
      <c r="K95" s="56"/>
      <c r="L95" s="239"/>
      <c r="M95" s="56"/>
      <c r="N95" s="61"/>
      <c r="O95" s="8"/>
      <c r="P95" s="61"/>
      <c r="Q95" s="8"/>
      <c r="R95" s="5">
        <f>H95+N95+P95</f>
        <v>1.65</v>
      </c>
      <c r="S95" s="6">
        <f t="shared" si="8"/>
        <v>0.99824550789521438</v>
      </c>
      <c r="T95" s="21" t="s">
        <v>48</v>
      </c>
      <c r="U95" s="22">
        <v>720</v>
      </c>
      <c r="V95" s="8" t="s">
        <v>49</v>
      </c>
    </row>
    <row r="96" spans="1:22" s="7" customFormat="1" ht="25.2" customHeight="1" thickBot="1" x14ac:dyDescent="0.35">
      <c r="A96" s="233"/>
      <c r="B96" s="314"/>
      <c r="C96" s="315"/>
      <c r="D96" s="315"/>
      <c r="E96" s="315"/>
      <c r="F96" s="316"/>
      <c r="G96" s="234"/>
      <c r="H96" s="235">
        <f t="shared" ref="H96:V96" si="10">SUM(H38:H95)</f>
        <v>5.0625</v>
      </c>
      <c r="I96" s="235">
        <f t="shared" si="10"/>
        <v>0</v>
      </c>
      <c r="J96" s="235">
        <f t="shared" si="10"/>
        <v>3</v>
      </c>
      <c r="K96" s="235">
        <f t="shared" si="10"/>
        <v>0</v>
      </c>
      <c r="L96" s="235">
        <f t="shared" si="10"/>
        <v>1.4</v>
      </c>
      <c r="M96" s="235">
        <f t="shared" si="10"/>
        <v>0</v>
      </c>
      <c r="N96" s="235">
        <f t="shared" si="10"/>
        <v>61.162200000000006</v>
      </c>
      <c r="O96" s="235">
        <f t="shared" si="10"/>
        <v>22.432899999999993</v>
      </c>
      <c r="P96" s="235">
        <f>SUM(P38:P95)</f>
        <v>17.25</v>
      </c>
      <c r="Q96" s="235">
        <f t="shared" si="10"/>
        <v>0.87570000000000003</v>
      </c>
      <c r="R96" s="235">
        <f t="shared" si="10"/>
        <v>83.474700000000013</v>
      </c>
      <c r="S96" s="235">
        <f t="shared" si="10"/>
        <v>50.501966241151912</v>
      </c>
      <c r="T96" s="235">
        <f t="shared" si="10"/>
        <v>0</v>
      </c>
      <c r="U96" s="291">
        <f t="shared" si="10"/>
        <v>30480</v>
      </c>
      <c r="V96" s="291">
        <f t="shared" si="10"/>
        <v>12</v>
      </c>
    </row>
    <row r="97" spans="1:22" s="12" customFormat="1" ht="28.2" customHeight="1" x14ac:dyDescent="0.35">
      <c r="A97" s="11"/>
      <c r="B97" s="42"/>
      <c r="C97" s="43"/>
      <c r="D97" s="44"/>
      <c r="E97" s="11"/>
      <c r="H97" s="11"/>
      <c r="I97" s="11"/>
      <c r="J97" s="63">
        <f>J96/1.6529</f>
        <v>1.8149918325367536</v>
      </c>
      <c r="K97" s="11"/>
      <c r="L97" s="47">
        <f>L96/1.6529</f>
        <v>0.84699618851715164</v>
      </c>
      <c r="M97" s="11"/>
      <c r="N97" s="63">
        <f>N96/1.6529</f>
        <v>37.002964486659813</v>
      </c>
      <c r="O97" s="11"/>
      <c r="P97" s="47">
        <f>P96/1.6529</f>
        <v>10.436203037086333</v>
      </c>
      <c r="Q97" s="11"/>
      <c r="S97" s="47"/>
      <c r="T97" s="45"/>
      <c r="U97" s="46"/>
      <c r="V97" s="109"/>
    </row>
    <row r="98" spans="1:22" s="12" customFormat="1" ht="16.2" x14ac:dyDescent="0.35">
      <c r="A98" s="11"/>
      <c r="B98" s="42"/>
      <c r="C98" s="43"/>
      <c r="D98" s="44"/>
      <c r="E98" s="11"/>
      <c r="H98" s="11"/>
      <c r="I98" s="11"/>
      <c r="J98" s="63"/>
      <c r="K98" s="11"/>
      <c r="L98" s="47">
        <f>J97+L97</f>
        <v>2.6619880210539053</v>
      </c>
      <c r="M98" s="11"/>
      <c r="N98" s="63"/>
      <c r="O98" s="11"/>
      <c r="P98" s="47">
        <f>N97+P97</f>
        <v>47.43916752374615</v>
      </c>
      <c r="Q98" s="11"/>
      <c r="S98" s="47"/>
      <c r="T98" s="45"/>
      <c r="U98" s="46"/>
      <c r="V98" s="109"/>
    </row>
    <row r="99" spans="1:22" s="12" customFormat="1" ht="16.2" x14ac:dyDescent="0.35">
      <c r="A99" s="11"/>
      <c r="B99" s="42"/>
      <c r="C99" s="43"/>
      <c r="D99" s="44"/>
      <c r="E99" s="11"/>
      <c r="H99" s="11"/>
      <c r="I99" s="11"/>
      <c r="J99" s="63"/>
      <c r="K99" s="11"/>
      <c r="L99" s="11"/>
      <c r="M99" s="11"/>
      <c r="N99" s="63"/>
      <c r="O99" s="11"/>
      <c r="P99" s="11"/>
      <c r="Q99" s="11"/>
      <c r="S99" s="47"/>
      <c r="T99" s="45"/>
      <c r="U99" s="46"/>
      <c r="V99" s="109"/>
    </row>
    <row r="100" spans="1:22" s="12" customFormat="1" ht="16.2" x14ac:dyDescent="0.35">
      <c r="A100" s="11"/>
      <c r="B100" s="42"/>
      <c r="C100" s="43"/>
      <c r="D100" s="44"/>
      <c r="E100" s="11"/>
      <c r="H100" s="11"/>
      <c r="I100" s="11"/>
      <c r="J100" s="63"/>
      <c r="K100" s="11"/>
      <c r="L100" s="11"/>
      <c r="M100" s="11"/>
      <c r="N100" s="63"/>
      <c r="O100" s="11"/>
      <c r="P100" s="11"/>
      <c r="Q100" s="11"/>
      <c r="S100" s="47"/>
      <c r="T100" s="45"/>
      <c r="U100" s="46"/>
      <c r="V100" s="109"/>
    </row>
    <row r="101" spans="1:22" s="12" customFormat="1" ht="16.2" x14ac:dyDescent="0.35">
      <c r="A101" s="11"/>
      <c r="B101" s="42"/>
      <c r="C101" s="43"/>
      <c r="D101" s="44"/>
      <c r="E101" s="11"/>
      <c r="F101" s="18"/>
      <c r="H101" s="11"/>
      <c r="I101" s="11"/>
      <c r="J101" s="63"/>
      <c r="K101" s="11"/>
      <c r="L101" s="11"/>
      <c r="M101" s="11"/>
      <c r="N101" s="63"/>
      <c r="O101" s="11"/>
      <c r="P101" s="11"/>
      <c r="Q101" s="11"/>
      <c r="S101" s="47"/>
      <c r="T101" s="45"/>
      <c r="U101" s="46"/>
      <c r="V101" s="109"/>
    </row>
    <row r="102" spans="1:22" s="12" customFormat="1" ht="16.2" x14ac:dyDescent="0.35">
      <c r="A102" s="11"/>
      <c r="B102" s="42"/>
      <c r="C102" s="43"/>
      <c r="D102" s="44"/>
      <c r="E102" s="11"/>
      <c r="F102" s="18"/>
      <c r="H102" s="11"/>
      <c r="I102" s="11"/>
      <c r="J102" s="63"/>
      <c r="K102" s="11"/>
      <c r="L102" s="11"/>
      <c r="M102" s="11"/>
      <c r="N102" s="63"/>
      <c r="O102" s="11"/>
      <c r="P102" s="11"/>
      <c r="Q102" s="11"/>
      <c r="S102" s="47"/>
      <c r="T102" s="45"/>
      <c r="U102" s="46"/>
      <c r="V102" s="109"/>
    </row>
    <row r="103" spans="1:22" s="12" customFormat="1" ht="16.2" x14ac:dyDescent="0.35">
      <c r="A103" s="11"/>
      <c r="B103" s="42"/>
      <c r="C103" s="43"/>
      <c r="D103" s="44"/>
      <c r="E103" s="11"/>
      <c r="F103" s="18"/>
      <c r="H103" s="11"/>
      <c r="I103" s="11"/>
      <c r="J103" s="63"/>
      <c r="K103" s="11"/>
      <c r="L103" s="11"/>
      <c r="M103" s="11"/>
      <c r="N103" s="63"/>
      <c r="O103" s="11"/>
      <c r="P103" s="11"/>
      <c r="Q103" s="11"/>
      <c r="S103" s="47"/>
      <c r="T103" s="45"/>
      <c r="U103" s="46"/>
      <c r="V103" s="109"/>
    </row>
    <row r="104" spans="1:22" s="12" customFormat="1" ht="16.2" x14ac:dyDescent="0.35">
      <c r="A104" s="11"/>
      <c r="B104" s="42"/>
      <c r="C104" s="43"/>
      <c r="D104" s="44"/>
      <c r="E104" s="11"/>
      <c r="F104" s="18"/>
      <c r="H104" s="11"/>
      <c r="I104" s="11"/>
      <c r="J104" s="63"/>
      <c r="K104" s="11"/>
      <c r="L104" s="11"/>
      <c r="M104" s="11"/>
      <c r="N104" s="63"/>
      <c r="O104" s="11"/>
      <c r="P104" s="11"/>
      <c r="Q104" s="11"/>
      <c r="S104" s="47"/>
      <c r="T104" s="45"/>
      <c r="U104" s="46"/>
      <c r="V104" s="109"/>
    </row>
    <row r="105" spans="1:22" s="12" customFormat="1" ht="16.2" x14ac:dyDescent="0.35">
      <c r="A105" s="11"/>
      <c r="B105" s="42"/>
      <c r="C105" s="43"/>
      <c r="D105" s="44"/>
      <c r="E105" s="11"/>
      <c r="F105" s="18"/>
      <c r="H105" s="11"/>
      <c r="I105" s="11"/>
      <c r="J105" s="63"/>
      <c r="K105" s="11"/>
      <c r="L105" s="11"/>
      <c r="M105" s="11"/>
      <c r="N105" s="63"/>
      <c r="O105" s="11"/>
      <c r="P105" s="11"/>
      <c r="Q105" s="11"/>
      <c r="S105" s="47"/>
      <c r="T105" s="45"/>
      <c r="U105" s="46"/>
      <c r="V105" s="109"/>
    </row>
    <row r="106" spans="1:22" s="12" customFormat="1" ht="16.2" x14ac:dyDescent="0.35">
      <c r="A106" s="11"/>
      <c r="B106" s="42"/>
      <c r="C106" s="43"/>
      <c r="D106" s="44"/>
      <c r="E106" s="11"/>
      <c r="F106" s="18"/>
      <c r="H106" s="11"/>
      <c r="I106" s="11"/>
      <c r="J106" s="63"/>
      <c r="K106" s="11"/>
      <c r="L106" s="11"/>
      <c r="M106" s="11"/>
      <c r="N106" s="63"/>
      <c r="O106" s="11"/>
      <c r="P106" s="11"/>
      <c r="Q106" s="11"/>
      <c r="S106" s="47"/>
      <c r="T106" s="45"/>
      <c r="U106" s="46"/>
      <c r="V106" s="109"/>
    </row>
    <row r="107" spans="1:22" s="12" customFormat="1" ht="16.2" x14ac:dyDescent="0.35">
      <c r="A107" s="11"/>
      <c r="B107" s="42"/>
      <c r="C107" s="43"/>
      <c r="D107" s="44"/>
      <c r="E107" s="11"/>
      <c r="F107" s="18"/>
      <c r="H107" s="11"/>
      <c r="I107" s="11"/>
      <c r="J107" s="63"/>
      <c r="K107" s="11"/>
      <c r="L107" s="11"/>
      <c r="M107" s="11"/>
      <c r="N107" s="63"/>
      <c r="O107" s="11"/>
      <c r="P107" s="11"/>
      <c r="Q107" s="11"/>
      <c r="S107" s="47"/>
      <c r="T107" s="45"/>
      <c r="U107" s="46"/>
      <c r="V107" s="109"/>
    </row>
    <row r="108" spans="1:22" s="12" customFormat="1" ht="16.2" x14ac:dyDescent="0.35">
      <c r="A108" s="11"/>
      <c r="B108" s="42"/>
      <c r="C108" s="43"/>
      <c r="D108" s="44"/>
      <c r="E108" s="11"/>
      <c r="F108" s="18"/>
      <c r="H108" s="11"/>
      <c r="I108" s="11"/>
      <c r="J108" s="63"/>
      <c r="K108" s="11"/>
      <c r="L108" s="11"/>
      <c r="M108" s="11"/>
      <c r="N108" s="63"/>
      <c r="O108" s="11"/>
      <c r="P108" s="11"/>
      <c r="Q108" s="11"/>
      <c r="S108" s="47"/>
      <c r="T108" s="45"/>
      <c r="U108" s="46"/>
      <c r="V108" s="109"/>
    </row>
    <row r="109" spans="1:22" s="12" customFormat="1" ht="16.2" x14ac:dyDescent="0.35">
      <c r="A109" s="11"/>
      <c r="B109" s="42"/>
      <c r="C109" s="43"/>
      <c r="D109" s="44"/>
      <c r="E109" s="11"/>
      <c r="F109" s="18"/>
      <c r="H109" s="11"/>
      <c r="I109" s="11"/>
      <c r="J109" s="63"/>
      <c r="K109" s="11"/>
      <c r="L109" s="11"/>
      <c r="M109" s="11"/>
      <c r="N109" s="63"/>
      <c r="O109" s="11"/>
      <c r="P109" s="11"/>
      <c r="Q109" s="11"/>
      <c r="S109" s="47"/>
      <c r="T109" s="45"/>
      <c r="U109" s="46"/>
      <c r="V109" s="109"/>
    </row>
    <row r="110" spans="1:22" s="12" customFormat="1" ht="16.2" x14ac:dyDescent="0.35">
      <c r="A110" s="11"/>
      <c r="B110" s="42"/>
      <c r="C110" s="43"/>
      <c r="D110" s="44"/>
      <c r="E110" s="11"/>
      <c r="F110" s="18"/>
      <c r="H110" s="11"/>
      <c r="I110" s="11"/>
      <c r="J110" s="63"/>
      <c r="K110" s="11"/>
      <c r="L110" s="11"/>
      <c r="M110" s="11"/>
      <c r="N110" s="63"/>
      <c r="O110" s="11"/>
      <c r="P110" s="11"/>
      <c r="Q110" s="11"/>
      <c r="S110" s="47"/>
      <c r="T110" s="45"/>
      <c r="U110" s="46"/>
      <c r="V110" s="109"/>
    </row>
    <row r="111" spans="1:22" s="12" customFormat="1" ht="16.2" x14ac:dyDescent="0.35">
      <c r="A111" s="11"/>
      <c r="B111" s="42"/>
      <c r="C111" s="43"/>
      <c r="D111" s="44"/>
      <c r="E111" s="11"/>
      <c r="F111" s="18"/>
      <c r="H111" s="11"/>
      <c r="I111" s="11"/>
      <c r="J111" s="63"/>
      <c r="K111" s="11"/>
      <c r="L111" s="11"/>
      <c r="M111" s="11"/>
      <c r="N111" s="63"/>
      <c r="O111" s="11"/>
      <c r="P111" s="11"/>
      <c r="Q111" s="11"/>
      <c r="S111" s="47"/>
      <c r="T111" s="45"/>
      <c r="U111" s="46"/>
      <c r="V111" s="109"/>
    </row>
    <row r="112" spans="1:22" s="12" customFormat="1" ht="16.2" x14ac:dyDescent="0.35">
      <c r="A112" s="11"/>
      <c r="B112" s="42"/>
      <c r="C112" s="43"/>
      <c r="D112" s="44"/>
      <c r="E112" s="11"/>
      <c r="F112" s="18"/>
      <c r="H112" s="11"/>
      <c r="I112" s="11"/>
      <c r="J112" s="63"/>
      <c r="K112" s="11"/>
      <c r="L112" s="11"/>
      <c r="M112" s="11"/>
      <c r="N112" s="63"/>
      <c r="O112" s="11"/>
      <c r="P112" s="11"/>
      <c r="Q112" s="11"/>
      <c r="S112" s="47"/>
      <c r="T112" s="45"/>
      <c r="U112" s="46"/>
      <c r="V112" s="109"/>
    </row>
    <row r="113" spans="1:22" s="12" customFormat="1" ht="16.2" x14ac:dyDescent="0.35">
      <c r="A113" s="11"/>
      <c r="B113" s="42"/>
      <c r="C113" s="43"/>
      <c r="D113" s="44"/>
      <c r="E113" s="11"/>
      <c r="F113" s="18"/>
      <c r="H113" s="11"/>
      <c r="I113" s="11"/>
      <c r="J113" s="63"/>
      <c r="K113" s="11"/>
      <c r="L113" s="11"/>
      <c r="M113" s="11"/>
      <c r="N113" s="63"/>
      <c r="O113" s="11"/>
      <c r="P113" s="11"/>
      <c r="Q113" s="11"/>
      <c r="S113" s="47"/>
      <c r="T113" s="45"/>
      <c r="U113" s="46"/>
      <c r="V113" s="109"/>
    </row>
    <row r="114" spans="1:22" s="12" customFormat="1" ht="16.2" x14ac:dyDescent="0.35">
      <c r="A114" s="11"/>
      <c r="B114" s="42"/>
      <c r="C114" s="43"/>
      <c r="D114" s="44"/>
      <c r="E114" s="11"/>
      <c r="F114" s="18"/>
      <c r="H114" s="11"/>
      <c r="I114" s="11"/>
      <c r="J114" s="63"/>
      <c r="K114" s="11"/>
      <c r="L114" s="11"/>
      <c r="M114" s="11"/>
      <c r="N114" s="63"/>
      <c r="O114" s="11"/>
      <c r="P114" s="11"/>
      <c r="Q114" s="11"/>
      <c r="S114" s="47"/>
      <c r="T114" s="45"/>
      <c r="U114" s="46"/>
      <c r="V114" s="109"/>
    </row>
    <row r="115" spans="1:22" s="12" customFormat="1" ht="16.2" x14ac:dyDescent="0.35">
      <c r="A115" s="11"/>
      <c r="B115" s="42"/>
      <c r="C115" s="43"/>
      <c r="D115" s="44"/>
      <c r="E115" s="11"/>
      <c r="F115" s="18"/>
      <c r="H115" s="11"/>
      <c r="I115" s="11"/>
      <c r="J115" s="63"/>
      <c r="K115" s="11"/>
      <c r="L115" s="11"/>
      <c r="M115" s="11"/>
      <c r="N115" s="63"/>
      <c r="O115" s="11"/>
      <c r="P115" s="11"/>
      <c r="Q115" s="11"/>
      <c r="S115" s="47"/>
      <c r="T115" s="45"/>
      <c r="U115" s="46"/>
      <c r="V115" s="109"/>
    </row>
    <row r="116" spans="1:22" s="12" customFormat="1" ht="16.2" x14ac:dyDescent="0.35">
      <c r="A116" s="11"/>
      <c r="B116" s="42"/>
      <c r="C116" s="43"/>
      <c r="D116" s="44"/>
      <c r="E116" s="11"/>
      <c r="F116" s="18"/>
      <c r="H116" s="11"/>
      <c r="I116" s="11"/>
      <c r="J116" s="63"/>
      <c r="K116" s="11"/>
      <c r="L116" s="11"/>
      <c r="M116" s="11"/>
      <c r="N116" s="63"/>
      <c r="O116" s="11"/>
      <c r="P116" s="11"/>
      <c r="Q116" s="11"/>
      <c r="S116" s="47"/>
      <c r="T116" s="45"/>
      <c r="U116" s="46"/>
      <c r="V116" s="109"/>
    </row>
    <row r="117" spans="1:22" s="12" customFormat="1" ht="16.2" x14ac:dyDescent="0.35">
      <c r="A117" s="11"/>
      <c r="B117" s="42"/>
      <c r="C117" s="43"/>
      <c r="D117" s="44"/>
      <c r="E117" s="11"/>
      <c r="F117" s="18"/>
      <c r="H117" s="11"/>
      <c r="I117" s="11"/>
      <c r="J117" s="63"/>
      <c r="K117" s="11"/>
      <c r="L117" s="11"/>
      <c r="M117" s="11"/>
      <c r="N117" s="63"/>
      <c r="O117" s="11"/>
      <c r="P117" s="11"/>
      <c r="Q117" s="11"/>
      <c r="S117" s="47"/>
      <c r="T117" s="45"/>
      <c r="U117" s="46"/>
      <c r="V117" s="109"/>
    </row>
    <row r="118" spans="1:22" s="12" customFormat="1" ht="16.2" x14ac:dyDescent="0.35">
      <c r="A118" s="11"/>
      <c r="B118" s="42"/>
      <c r="C118" s="43"/>
      <c r="D118" s="44"/>
      <c r="E118" s="11"/>
      <c r="F118" s="18"/>
      <c r="H118" s="11"/>
      <c r="I118" s="11"/>
      <c r="J118" s="63"/>
      <c r="K118" s="11"/>
      <c r="L118" s="11"/>
      <c r="M118" s="11"/>
      <c r="N118" s="63"/>
      <c r="O118" s="11"/>
      <c r="P118" s="11"/>
      <c r="Q118" s="11"/>
      <c r="S118" s="47"/>
      <c r="T118" s="45"/>
      <c r="U118" s="46"/>
      <c r="V118" s="109"/>
    </row>
    <row r="119" spans="1:22" s="12" customFormat="1" ht="16.2" x14ac:dyDescent="0.35">
      <c r="A119" s="11"/>
      <c r="B119" s="42"/>
      <c r="C119" s="43"/>
      <c r="D119" s="44"/>
      <c r="E119" s="11"/>
      <c r="F119" s="18"/>
      <c r="H119" s="11"/>
      <c r="I119" s="11"/>
      <c r="J119" s="63"/>
      <c r="K119" s="11"/>
      <c r="L119" s="11"/>
      <c r="M119" s="11"/>
      <c r="N119" s="63"/>
      <c r="O119" s="11"/>
      <c r="P119" s="11"/>
      <c r="Q119" s="11"/>
      <c r="S119" s="47"/>
      <c r="T119" s="45"/>
      <c r="U119" s="46"/>
      <c r="V119" s="109"/>
    </row>
    <row r="120" spans="1:22" s="12" customFormat="1" ht="16.2" x14ac:dyDescent="0.35">
      <c r="A120" s="11"/>
      <c r="B120" s="42"/>
      <c r="C120" s="43"/>
      <c r="D120" s="44"/>
      <c r="E120" s="11"/>
      <c r="F120" s="18"/>
      <c r="H120" s="11"/>
      <c r="I120" s="11"/>
      <c r="J120" s="63"/>
      <c r="K120" s="11"/>
      <c r="L120" s="11"/>
      <c r="M120" s="11"/>
      <c r="N120" s="63"/>
      <c r="O120" s="11"/>
      <c r="P120" s="11"/>
      <c r="Q120" s="11"/>
      <c r="S120" s="47"/>
      <c r="T120" s="45"/>
      <c r="U120" s="46"/>
      <c r="V120" s="109"/>
    </row>
    <row r="121" spans="1:22" s="12" customFormat="1" ht="16.2" x14ac:dyDescent="0.35">
      <c r="A121" s="11"/>
      <c r="B121" s="42"/>
      <c r="C121" s="43"/>
      <c r="D121" s="44"/>
      <c r="E121" s="11"/>
      <c r="F121" s="18"/>
      <c r="H121" s="11"/>
      <c r="I121" s="11"/>
      <c r="J121" s="63"/>
      <c r="K121" s="11"/>
      <c r="L121" s="11"/>
      <c r="M121" s="11"/>
      <c r="N121" s="63"/>
      <c r="O121" s="11"/>
      <c r="P121" s="11"/>
      <c r="Q121" s="11"/>
      <c r="S121" s="47"/>
      <c r="T121" s="45"/>
      <c r="U121" s="46"/>
      <c r="V121" s="109"/>
    </row>
    <row r="122" spans="1:22" s="12" customFormat="1" ht="16.2" x14ac:dyDescent="0.35">
      <c r="A122" s="11"/>
      <c r="B122" s="42"/>
      <c r="C122" s="43"/>
      <c r="D122" s="44"/>
      <c r="E122" s="11"/>
      <c r="F122" s="18"/>
      <c r="H122" s="11"/>
      <c r="I122" s="11"/>
      <c r="J122" s="63"/>
      <c r="K122" s="11"/>
      <c r="L122" s="11"/>
      <c r="M122" s="11"/>
      <c r="N122" s="63"/>
      <c r="O122" s="11"/>
      <c r="P122" s="11"/>
      <c r="Q122" s="11"/>
      <c r="S122" s="47"/>
      <c r="T122" s="45"/>
      <c r="U122" s="46"/>
      <c r="V122" s="109"/>
    </row>
    <row r="123" spans="1:22" s="12" customFormat="1" ht="16.2" x14ac:dyDescent="0.35">
      <c r="A123" s="11"/>
      <c r="B123" s="42"/>
      <c r="C123" s="43"/>
      <c r="D123" s="44"/>
      <c r="E123" s="11"/>
      <c r="F123" s="18"/>
      <c r="H123" s="11"/>
      <c r="I123" s="11"/>
      <c r="J123" s="63"/>
      <c r="K123" s="11"/>
      <c r="L123" s="11"/>
      <c r="M123" s="11"/>
      <c r="N123" s="63"/>
      <c r="O123" s="11"/>
      <c r="P123" s="11"/>
      <c r="Q123" s="11"/>
      <c r="S123" s="47"/>
      <c r="T123" s="45"/>
      <c r="U123" s="46"/>
      <c r="V123" s="109"/>
    </row>
    <row r="124" spans="1:22" s="12" customFormat="1" ht="16.2" x14ac:dyDescent="0.35">
      <c r="A124" s="11"/>
      <c r="B124" s="42"/>
      <c r="C124" s="43"/>
      <c r="D124" s="44"/>
      <c r="E124" s="11"/>
      <c r="F124" s="18"/>
      <c r="H124" s="11"/>
      <c r="I124" s="11"/>
      <c r="J124" s="63"/>
      <c r="K124" s="11"/>
      <c r="L124" s="11"/>
      <c r="M124" s="11"/>
      <c r="N124" s="63"/>
      <c r="O124" s="11"/>
      <c r="P124" s="11"/>
      <c r="Q124" s="11"/>
      <c r="S124" s="47"/>
      <c r="T124" s="45"/>
      <c r="U124" s="46"/>
      <c r="V124" s="109"/>
    </row>
    <row r="125" spans="1:22" s="12" customFormat="1" ht="16.2" x14ac:dyDescent="0.35">
      <c r="A125" s="11"/>
      <c r="B125" s="42"/>
      <c r="C125" s="43"/>
      <c r="D125" s="44"/>
      <c r="E125" s="11"/>
      <c r="F125" s="18"/>
      <c r="H125" s="11"/>
      <c r="I125" s="11"/>
      <c r="J125" s="63"/>
      <c r="K125" s="11"/>
      <c r="L125" s="11"/>
      <c r="M125" s="11"/>
      <c r="N125" s="63"/>
      <c r="O125" s="11"/>
      <c r="P125" s="11"/>
      <c r="Q125" s="11"/>
      <c r="S125" s="47"/>
      <c r="T125" s="45"/>
      <c r="U125" s="46"/>
      <c r="V125" s="109"/>
    </row>
    <row r="126" spans="1:22" s="12" customFormat="1" ht="16.2" x14ac:dyDescent="0.35">
      <c r="A126" s="11"/>
      <c r="B126" s="42"/>
      <c r="C126" s="43"/>
      <c r="D126" s="44"/>
      <c r="E126" s="11"/>
      <c r="F126" s="18"/>
      <c r="H126" s="11"/>
      <c r="I126" s="11"/>
      <c r="J126" s="63"/>
      <c r="K126" s="11"/>
      <c r="L126" s="11"/>
      <c r="M126" s="11"/>
      <c r="N126" s="63"/>
      <c r="O126" s="11"/>
      <c r="P126" s="11"/>
      <c r="Q126" s="11"/>
      <c r="S126" s="47"/>
      <c r="T126" s="45"/>
      <c r="U126" s="46"/>
      <c r="V126" s="109"/>
    </row>
    <row r="127" spans="1:22" s="12" customFormat="1" ht="16.2" x14ac:dyDescent="0.35">
      <c r="A127" s="11"/>
      <c r="B127" s="42"/>
      <c r="C127" s="43"/>
      <c r="D127" s="44"/>
      <c r="E127" s="11"/>
      <c r="F127" s="18"/>
      <c r="H127" s="11"/>
      <c r="I127" s="11"/>
      <c r="J127" s="63"/>
      <c r="K127" s="11"/>
      <c r="L127" s="11"/>
      <c r="M127" s="11"/>
      <c r="N127" s="63"/>
      <c r="O127" s="11"/>
      <c r="P127" s="11"/>
      <c r="Q127" s="11"/>
      <c r="S127" s="47"/>
      <c r="T127" s="45"/>
      <c r="U127" s="46"/>
      <c r="V127" s="109"/>
    </row>
    <row r="128" spans="1:22" s="12" customFormat="1" ht="16.2" x14ac:dyDescent="0.35">
      <c r="A128" s="11"/>
      <c r="B128" s="42"/>
      <c r="C128" s="43"/>
      <c r="D128" s="44"/>
      <c r="E128" s="11"/>
      <c r="F128" s="18"/>
      <c r="H128" s="11"/>
      <c r="I128" s="11"/>
      <c r="J128" s="63"/>
      <c r="K128" s="11"/>
      <c r="L128" s="11"/>
      <c r="M128" s="11"/>
      <c r="N128" s="63"/>
      <c r="O128" s="11"/>
      <c r="P128" s="11"/>
      <c r="Q128" s="11"/>
      <c r="S128" s="47"/>
      <c r="T128" s="45"/>
      <c r="U128" s="46"/>
      <c r="V128" s="109"/>
    </row>
    <row r="129" spans="1:22" s="12" customFormat="1" ht="16.2" x14ac:dyDescent="0.35">
      <c r="A129" s="11"/>
      <c r="B129" s="42"/>
      <c r="C129" s="43"/>
      <c r="D129" s="44"/>
      <c r="E129" s="11"/>
      <c r="F129" s="18"/>
      <c r="H129" s="11"/>
      <c r="I129" s="11"/>
      <c r="J129" s="63"/>
      <c r="K129" s="11"/>
      <c r="L129" s="11"/>
      <c r="M129" s="11"/>
      <c r="N129" s="63"/>
      <c r="O129" s="11"/>
      <c r="P129" s="11"/>
      <c r="Q129" s="11"/>
      <c r="S129" s="47"/>
      <c r="T129" s="45"/>
      <c r="U129" s="46"/>
      <c r="V129" s="109"/>
    </row>
    <row r="130" spans="1:22" s="12" customFormat="1" ht="16.2" x14ac:dyDescent="0.35">
      <c r="A130" s="11"/>
      <c r="B130" s="42"/>
      <c r="C130" s="43"/>
      <c r="D130" s="44"/>
      <c r="E130" s="11"/>
      <c r="F130" s="18"/>
      <c r="H130" s="11"/>
      <c r="I130" s="11"/>
      <c r="J130" s="63"/>
      <c r="K130" s="11"/>
      <c r="L130" s="11"/>
      <c r="M130" s="11"/>
      <c r="N130" s="63"/>
      <c r="O130" s="11"/>
      <c r="P130" s="11"/>
      <c r="Q130" s="11"/>
      <c r="S130" s="47"/>
      <c r="T130" s="45"/>
      <c r="U130" s="46"/>
      <c r="V130" s="109"/>
    </row>
    <row r="131" spans="1:22" s="12" customFormat="1" ht="16.2" x14ac:dyDescent="0.35">
      <c r="A131" s="11"/>
      <c r="B131" s="42"/>
      <c r="C131" s="43"/>
      <c r="D131" s="44"/>
      <c r="E131" s="11"/>
      <c r="F131" s="18"/>
      <c r="H131" s="11"/>
      <c r="I131" s="11"/>
      <c r="J131" s="63"/>
      <c r="K131" s="11"/>
      <c r="L131" s="11"/>
      <c r="M131" s="11"/>
      <c r="N131" s="63"/>
      <c r="O131" s="11"/>
      <c r="P131" s="11"/>
      <c r="Q131" s="11"/>
      <c r="S131" s="47"/>
      <c r="T131" s="45"/>
      <c r="U131" s="46"/>
      <c r="V131" s="109"/>
    </row>
    <row r="132" spans="1:22" s="12" customFormat="1" ht="16.2" x14ac:dyDescent="0.35">
      <c r="A132" s="11"/>
      <c r="B132" s="42"/>
      <c r="C132" s="43"/>
      <c r="D132" s="44"/>
      <c r="E132" s="11"/>
      <c r="F132" s="18"/>
      <c r="H132" s="11"/>
      <c r="I132" s="11"/>
      <c r="J132" s="63"/>
      <c r="K132" s="11"/>
      <c r="L132" s="11"/>
      <c r="M132" s="11"/>
      <c r="N132" s="63"/>
      <c r="O132" s="11"/>
      <c r="P132" s="11"/>
      <c r="Q132" s="11"/>
      <c r="S132" s="47"/>
      <c r="T132" s="45"/>
      <c r="U132" s="46"/>
      <c r="V132" s="109"/>
    </row>
    <row r="133" spans="1:22" s="12" customFormat="1" ht="16.2" x14ac:dyDescent="0.35">
      <c r="A133" s="11"/>
      <c r="B133" s="42"/>
      <c r="C133" s="43"/>
      <c r="D133" s="44"/>
      <c r="E133" s="11"/>
      <c r="F133" s="18"/>
      <c r="H133" s="11"/>
      <c r="I133" s="11"/>
      <c r="J133" s="63"/>
      <c r="K133" s="11"/>
      <c r="L133" s="11"/>
      <c r="M133" s="11"/>
      <c r="N133" s="63"/>
      <c r="O133" s="11"/>
      <c r="P133" s="11"/>
      <c r="Q133" s="11"/>
      <c r="S133" s="47"/>
      <c r="T133" s="45"/>
      <c r="U133" s="46"/>
      <c r="V133" s="109"/>
    </row>
    <row r="134" spans="1:22" s="12" customFormat="1" ht="16.2" x14ac:dyDescent="0.35">
      <c r="A134" s="11"/>
      <c r="B134" s="42"/>
      <c r="C134" s="43"/>
      <c r="D134" s="44"/>
      <c r="E134" s="11"/>
      <c r="F134" s="18"/>
      <c r="H134" s="11"/>
      <c r="I134" s="11"/>
      <c r="J134" s="63"/>
      <c r="K134" s="11"/>
      <c r="L134" s="11"/>
      <c r="M134" s="11"/>
      <c r="N134" s="63"/>
      <c r="O134" s="11"/>
      <c r="P134" s="11"/>
      <c r="Q134" s="11"/>
      <c r="S134" s="47"/>
      <c r="T134" s="45"/>
      <c r="U134" s="46"/>
      <c r="V134" s="109"/>
    </row>
    <row r="135" spans="1:22" s="12" customFormat="1" ht="16.2" x14ac:dyDescent="0.35">
      <c r="A135" s="11"/>
      <c r="B135" s="42"/>
      <c r="C135" s="43"/>
      <c r="D135" s="44"/>
      <c r="E135" s="11"/>
      <c r="F135" s="18"/>
      <c r="H135" s="11"/>
      <c r="I135" s="11"/>
      <c r="J135" s="63"/>
      <c r="K135" s="11"/>
      <c r="L135" s="11"/>
      <c r="M135" s="11"/>
      <c r="N135" s="63"/>
      <c r="O135" s="11"/>
      <c r="P135" s="11"/>
      <c r="Q135" s="11"/>
      <c r="S135" s="47"/>
      <c r="T135" s="45"/>
      <c r="U135" s="46"/>
      <c r="V135" s="109"/>
    </row>
    <row r="136" spans="1:22" s="12" customFormat="1" ht="16.2" x14ac:dyDescent="0.35">
      <c r="A136" s="11"/>
      <c r="B136" s="42"/>
      <c r="C136" s="43"/>
      <c r="D136" s="44"/>
      <c r="E136" s="11"/>
      <c r="F136" s="18"/>
      <c r="H136" s="11"/>
      <c r="I136" s="11"/>
      <c r="J136" s="63"/>
      <c r="K136" s="11"/>
      <c r="L136" s="11"/>
      <c r="M136" s="11"/>
      <c r="N136" s="63"/>
      <c r="O136" s="11"/>
      <c r="P136" s="11"/>
      <c r="Q136" s="11"/>
      <c r="S136" s="47"/>
      <c r="T136" s="45"/>
      <c r="U136" s="46"/>
      <c r="V136" s="109"/>
    </row>
    <row r="137" spans="1:22" s="12" customFormat="1" ht="16.2" x14ac:dyDescent="0.35">
      <c r="A137" s="11"/>
      <c r="B137" s="42"/>
      <c r="C137" s="43"/>
      <c r="D137" s="44"/>
      <c r="E137" s="11"/>
      <c r="F137" s="18"/>
      <c r="H137" s="11"/>
      <c r="I137" s="11"/>
      <c r="J137" s="63"/>
      <c r="K137" s="11"/>
      <c r="L137" s="11"/>
      <c r="M137" s="11"/>
      <c r="N137" s="63"/>
      <c r="O137" s="11"/>
      <c r="P137" s="11"/>
      <c r="Q137" s="11"/>
      <c r="S137" s="47"/>
      <c r="T137" s="45"/>
      <c r="U137" s="46"/>
      <c r="V137" s="109"/>
    </row>
    <row r="138" spans="1:22" s="12" customFormat="1" ht="16.2" x14ac:dyDescent="0.35">
      <c r="A138" s="11"/>
      <c r="B138" s="42"/>
      <c r="C138" s="43"/>
      <c r="D138" s="44"/>
      <c r="E138" s="11"/>
      <c r="F138" s="18"/>
      <c r="H138" s="11"/>
      <c r="I138" s="11"/>
      <c r="J138" s="63"/>
      <c r="K138" s="11"/>
      <c r="L138" s="11"/>
      <c r="M138" s="11"/>
      <c r="N138" s="63"/>
      <c r="O138" s="11"/>
      <c r="P138" s="11"/>
      <c r="Q138" s="11"/>
      <c r="S138" s="47"/>
      <c r="T138" s="45"/>
      <c r="U138" s="46"/>
      <c r="V138" s="109"/>
    </row>
    <row r="139" spans="1:22" s="12" customFormat="1" ht="16.2" x14ac:dyDescent="0.35">
      <c r="A139" s="11"/>
      <c r="B139" s="42"/>
      <c r="C139" s="43"/>
      <c r="D139" s="44"/>
      <c r="E139" s="11"/>
      <c r="F139" s="18"/>
      <c r="H139" s="11"/>
      <c r="I139" s="11"/>
      <c r="J139" s="63"/>
      <c r="K139" s="11"/>
      <c r="L139" s="11"/>
      <c r="M139" s="11"/>
      <c r="N139" s="63"/>
      <c r="O139" s="11"/>
      <c r="P139" s="11"/>
      <c r="Q139" s="11"/>
      <c r="S139" s="47"/>
      <c r="T139" s="45"/>
      <c r="U139" s="46"/>
      <c r="V139" s="109"/>
    </row>
    <row r="140" spans="1:22" s="12" customFormat="1" ht="16.2" x14ac:dyDescent="0.35">
      <c r="A140" s="11"/>
      <c r="B140" s="42"/>
      <c r="C140" s="43"/>
      <c r="D140" s="44"/>
      <c r="E140" s="11"/>
      <c r="F140" s="18"/>
      <c r="H140" s="11"/>
      <c r="I140" s="11"/>
      <c r="J140" s="63"/>
      <c r="K140" s="11"/>
      <c r="L140" s="11"/>
      <c r="M140" s="11"/>
      <c r="N140" s="63"/>
      <c r="O140" s="11"/>
      <c r="P140" s="11"/>
      <c r="Q140" s="11"/>
      <c r="S140" s="47"/>
      <c r="T140" s="45"/>
      <c r="U140" s="46"/>
      <c r="V140" s="109"/>
    </row>
    <row r="141" spans="1:22" s="12" customFormat="1" ht="16.2" x14ac:dyDescent="0.35">
      <c r="A141" s="11"/>
      <c r="B141" s="42"/>
      <c r="C141" s="43"/>
      <c r="D141" s="44"/>
      <c r="E141" s="11"/>
      <c r="F141" s="18"/>
      <c r="H141" s="11"/>
      <c r="I141" s="11"/>
      <c r="J141" s="63"/>
      <c r="K141" s="11"/>
      <c r="L141" s="11"/>
      <c r="M141" s="11"/>
      <c r="N141" s="63"/>
      <c r="O141" s="11"/>
      <c r="P141" s="11"/>
      <c r="Q141" s="11"/>
      <c r="S141" s="47"/>
      <c r="T141" s="45"/>
      <c r="U141" s="46"/>
      <c r="V141" s="109"/>
    </row>
    <row r="142" spans="1:22" s="12" customFormat="1" ht="16.2" x14ac:dyDescent="0.35">
      <c r="A142" s="11"/>
      <c r="B142" s="42"/>
      <c r="C142" s="43"/>
      <c r="D142" s="44"/>
      <c r="E142" s="11"/>
      <c r="F142" s="18"/>
      <c r="H142" s="11"/>
      <c r="I142" s="11"/>
      <c r="J142" s="63"/>
      <c r="K142" s="11"/>
      <c r="L142" s="11"/>
      <c r="M142" s="11"/>
      <c r="N142" s="63"/>
      <c r="O142" s="11"/>
      <c r="P142" s="11"/>
      <c r="Q142" s="11"/>
      <c r="S142" s="47"/>
      <c r="T142" s="45"/>
      <c r="U142" s="46"/>
      <c r="V142" s="109"/>
    </row>
    <row r="143" spans="1:22" s="12" customFormat="1" ht="16.2" x14ac:dyDescent="0.35">
      <c r="A143" s="11"/>
      <c r="B143" s="42"/>
      <c r="C143" s="43"/>
      <c r="D143" s="44"/>
      <c r="E143" s="11"/>
      <c r="F143" s="18"/>
      <c r="H143" s="11"/>
      <c r="I143" s="11"/>
      <c r="J143" s="63"/>
      <c r="K143" s="11"/>
      <c r="L143" s="11"/>
      <c r="M143" s="11"/>
      <c r="N143" s="63"/>
      <c r="O143" s="11"/>
      <c r="P143" s="11"/>
      <c r="Q143" s="11"/>
      <c r="S143" s="47"/>
      <c r="T143" s="45"/>
      <c r="U143" s="46"/>
      <c r="V143" s="109"/>
    </row>
    <row r="144" spans="1:22" s="12" customFormat="1" ht="16.2" x14ac:dyDescent="0.35">
      <c r="A144" s="11"/>
      <c r="B144" s="42"/>
      <c r="C144" s="43"/>
      <c r="D144" s="44"/>
      <c r="E144" s="11"/>
      <c r="F144" s="18"/>
      <c r="H144" s="11"/>
      <c r="I144" s="11"/>
      <c r="J144" s="63"/>
      <c r="K144" s="11"/>
      <c r="L144" s="11"/>
      <c r="M144" s="11"/>
      <c r="N144" s="63"/>
      <c r="O144" s="11"/>
      <c r="P144" s="11"/>
      <c r="Q144" s="11"/>
      <c r="S144" s="47"/>
      <c r="T144" s="45"/>
      <c r="U144" s="46"/>
      <c r="V144" s="109"/>
    </row>
    <row r="145" spans="1:22" s="12" customFormat="1" ht="16.2" x14ac:dyDescent="0.35">
      <c r="A145" s="11"/>
      <c r="B145" s="42"/>
      <c r="C145" s="43"/>
      <c r="D145" s="44"/>
      <c r="E145" s="11"/>
      <c r="F145" s="18"/>
      <c r="H145" s="11"/>
      <c r="I145" s="11"/>
      <c r="J145" s="63"/>
      <c r="K145" s="11"/>
      <c r="L145" s="11"/>
      <c r="M145" s="11"/>
      <c r="N145" s="63"/>
      <c r="O145" s="11"/>
      <c r="P145" s="11"/>
      <c r="Q145" s="11"/>
      <c r="S145" s="47"/>
      <c r="T145" s="45"/>
      <c r="U145" s="46"/>
      <c r="V145" s="109"/>
    </row>
    <row r="146" spans="1:22" s="12" customFormat="1" ht="16.2" x14ac:dyDescent="0.35">
      <c r="A146" s="11"/>
      <c r="B146" s="42"/>
      <c r="C146" s="43"/>
      <c r="D146" s="44"/>
      <c r="E146" s="11"/>
      <c r="F146" s="18"/>
      <c r="H146" s="11"/>
      <c r="I146" s="11"/>
      <c r="J146" s="63"/>
      <c r="K146" s="11"/>
      <c r="L146" s="11"/>
      <c r="M146" s="11"/>
      <c r="N146" s="63"/>
      <c r="O146" s="11"/>
      <c r="P146" s="11"/>
      <c r="Q146" s="11"/>
      <c r="S146" s="47"/>
      <c r="T146" s="45"/>
      <c r="U146" s="46"/>
      <c r="V146" s="109"/>
    </row>
    <row r="147" spans="1:22" s="12" customFormat="1" ht="16.2" x14ac:dyDescent="0.35">
      <c r="A147" s="11"/>
      <c r="B147" s="42"/>
      <c r="C147" s="43"/>
      <c r="D147" s="44"/>
      <c r="E147" s="11"/>
      <c r="F147" s="18"/>
      <c r="H147" s="11"/>
      <c r="I147" s="11"/>
      <c r="J147" s="63"/>
      <c r="K147" s="11"/>
      <c r="L147" s="11"/>
      <c r="M147" s="11"/>
      <c r="N147" s="63"/>
      <c r="O147" s="11"/>
      <c r="P147" s="11"/>
      <c r="Q147" s="11"/>
      <c r="S147" s="47"/>
      <c r="T147" s="45"/>
      <c r="U147" s="46"/>
      <c r="V147" s="109"/>
    </row>
    <row r="148" spans="1:22" s="12" customFormat="1" ht="16.2" x14ac:dyDescent="0.35">
      <c r="A148" s="11"/>
      <c r="B148" s="42"/>
      <c r="C148" s="43"/>
      <c r="D148" s="44"/>
      <c r="E148" s="11"/>
      <c r="F148" s="18"/>
      <c r="H148" s="11"/>
      <c r="I148" s="11"/>
      <c r="J148" s="63"/>
      <c r="K148" s="11"/>
      <c r="L148" s="11"/>
      <c r="M148" s="11"/>
      <c r="N148" s="63"/>
      <c r="O148" s="11"/>
      <c r="P148" s="11"/>
      <c r="Q148" s="11"/>
      <c r="S148" s="47"/>
      <c r="T148" s="45"/>
      <c r="U148" s="46"/>
      <c r="V148" s="109"/>
    </row>
    <row r="149" spans="1:22" s="12" customFormat="1" ht="16.2" x14ac:dyDescent="0.35">
      <c r="A149" s="11"/>
      <c r="B149" s="42"/>
      <c r="C149" s="43"/>
      <c r="D149" s="44"/>
      <c r="E149" s="11"/>
      <c r="F149" s="18"/>
      <c r="H149" s="11"/>
      <c r="I149" s="11"/>
      <c r="J149" s="63"/>
      <c r="K149" s="11"/>
      <c r="L149" s="11"/>
      <c r="M149" s="11"/>
      <c r="N149" s="63"/>
      <c r="O149" s="11"/>
      <c r="P149" s="11"/>
      <c r="Q149" s="11"/>
      <c r="S149" s="47"/>
      <c r="T149" s="45"/>
      <c r="U149" s="46"/>
      <c r="V149" s="109"/>
    </row>
    <row r="150" spans="1:22" s="12" customFormat="1" ht="16.2" x14ac:dyDescent="0.35">
      <c r="A150" s="11"/>
      <c r="B150" s="42"/>
      <c r="C150" s="43"/>
      <c r="D150" s="44"/>
      <c r="E150" s="11"/>
      <c r="F150" s="18"/>
      <c r="H150" s="11"/>
      <c r="I150" s="11"/>
      <c r="J150" s="63"/>
      <c r="K150" s="11"/>
      <c r="L150" s="11"/>
      <c r="M150" s="11"/>
      <c r="N150" s="63"/>
      <c r="O150" s="11"/>
      <c r="P150" s="11"/>
      <c r="Q150" s="11"/>
      <c r="S150" s="47"/>
      <c r="T150" s="45"/>
      <c r="U150" s="46"/>
      <c r="V150" s="109"/>
    </row>
    <row r="151" spans="1:22" s="12" customFormat="1" ht="16.2" x14ac:dyDescent="0.35">
      <c r="A151" s="11"/>
      <c r="B151" s="42"/>
      <c r="C151" s="43"/>
      <c r="D151" s="44"/>
      <c r="E151" s="11"/>
      <c r="F151" s="18"/>
      <c r="H151" s="11"/>
      <c r="I151" s="11"/>
      <c r="J151" s="63"/>
      <c r="K151" s="11"/>
      <c r="L151" s="11"/>
      <c r="M151" s="11"/>
      <c r="N151" s="63"/>
      <c r="O151" s="11"/>
      <c r="P151" s="11"/>
      <c r="Q151" s="11"/>
      <c r="S151" s="47"/>
      <c r="T151" s="45"/>
      <c r="U151" s="46"/>
      <c r="V151" s="109"/>
    </row>
    <row r="152" spans="1:22" s="12" customFormat="1" ht="16.2" x14ac:dyDescent="0.35">
      <c r="A152" s="11"/>
      <c r="B152" s="42"/>
      <c r="C152" s="43"/>
      <c r="D152" s="44"/>
      <c r="E152" s="11"/>
      <c r="F152" s="18"/>
      <c r="H152" s="11"/>
      <c r="I152" s="11"/>
      <c r="J152" s="63"/>
      <c r="K152" s="11"/>
      <c r="L152" s="11"/>
      <c r="M152" s="11"/>
      <c r="N152" s="63"/>
      <c r="O152" s="11"/>
      <c r="P152" s="11"/>
      <c r="Q152" s="11"/>
      <c r="S152" s="47"/>
      <c r="T152" s="45"/>
      <c r="U152" s="46"/>
      <c r="V152" s="109"/>
    </row>
    <row r="153" spans="1:22" s="12" customFormat="1" ht="16.2" x14ac:dyDescent="0.35">
      <c r="A153" s="11"/>
      <c r="B153" s="42"/>
      <c r="C153" s="43"/>
      <c r="D153" s="44"/>
      <c r="E153" s="11"/>
      <c r="F153" s="18"/>
      <c r="H153" s="11"/>
      <c r="I153" s="11"/>
      <c r="J153" s="63"/>
      <c r="K153" s="11"/>
      <c r="L153" s="11"/>
      <c r="M153" s="11"/>
      <c r="N153" s="63"/>
      <c r="O153" s="11"/>
      <c r="P153" s="11"/>
      <c r="Q153" s="11"/>
      <c r="S153" s="47"/>
      <c r="T153" s="45"/>
      <c r="U153" s="46"/>
      <c r="V153" s="109"/>
    </row>
    <row r="154" spans="1:22" s="12" customFormat="1" ht="16.2" x14ac:dyDescent="0.35">
      <c r="A154" s="11"/>
      <c r="B154" s="42"/>
      <c r="C154" s="43"/>
      <c r="D154" s="44"/>
      <c r="E154" s="11"/>
      <c r="F154" s="18"/>
      <c r="H154" s="11"/>
      <c r="I154" s="11"/>
      <c r="J154" s="63"/>
      <c r="K154" s="11"/>
      <c r="L154" s="11"/>
      <c r="M154" s="11"/>
      <c r="N154" s="63"/>
      <c r="O154" s="11"/>
      <c r="P154" s="11"/>
      <c r="Q154" s="11"/>
      <c r="S154" s="47"/>
      <c r="T154" s="45"/>
      <c r="U154" s="46"/>
      <c r="V154" s="109"/>
    </row>
    <row r="155" spans="1:22" s="12" customFormat="1" ht="16.2" x14ac:dyDescent="0.35">
      <c r="A155" s="11"/>
      <c r="B155" s="42"/>
      <c r="C155" s="43"/>
      <c r="D155" s="44"/>
      <c r="E155" s="11"/>
      <c r="F155" s="18"/>
      <c r="H155" s="11"/>
      <c r="I155" s="11"/>
      <c r="J155" s="63"/>
      <c r="K155" s="11"/>
      <c r="L155" s="11"/>
      <c r="M155" s="11"/>
      <c r="N155" s="63"/>
      <c r="O155" s="11"/>
      <c r="P155" s="11"/>
      <c r="Q155" s="11"/>
      <c r="S155" s="47"/>
      <c r="T155" s="45"/>
      <c r="U155" s="46"/>
      <c r="V155" s="109"/>
    </row>
    <row r="156" spans="1:22" s="12" customFormat="1" ht="16.2" x14ac:dyDescent="0.35">
      <c r="A156" s="11"/>
      <c r="B156" s="42"/>
      <c r="C156" s="43"/>
      <c r="D156" s="44"/>
      <c r="E156" s="11"/>
      <c r="F156" s="18"/>
      <c r="H156" s="11"/>
      <c r="I156" s="11"/>
      <c r="J156" s="63"/>
      <c r="K156" s="11"/>
      <c r="L156" s="11"/>
      <c r="M156" s="11"/>
      <c r="N156" s="63"/>
      <c r="O156" s="11"/>
      <c r="P156" s="11"/>
      <c r="Q156" s="11"/>
      <c r="S156" s="47"/>
      <c r="T156" s="45"/>
      <c r="U156" s="46"/>
      <c r="V156" s="109"/>
    </row>
    <row r="157" spans="1:22" s="12" customFormat="1" ht="16.2" x14ac:dyDescent="0.35">
      <c r="A157" s="11"/>
      <c r="B157" s="42"/>
      <c r="C157" s="43"/>
      <c r="D157" s="44"/>
      <c r="E157" s="11"/>
      <c r="F157" s="18"/>
      <c r="H157" s="11"/>
      <c r="I157" s="11"/>
      <c r="J157" s="63"/>
      <c r="K157" s="11"/>
      <c r="L157" s="11"/>
      <c r="M157" s="11"/>
      <c r="N157" s="63"/>
      <c r="O157" s="11"/>
      <c r="P157" s="11"/>
      <c r="Q157" s="11"/>
      <c r="S157" s="47"/>
      <c r="T157" s="45"/>
      <c r="U157" s="46"/>
      <c r="V157" s="109"/>
    </row>
    <row r="158" spans="1:22" s="12" customFormat="1" ht="16.2" x14ac:dyDescent="0.35">
      <c r="A158" s="11"/>
      <c r="B158" s="42"/>
      <c r="C158" s="43"/>
      <c r="D158" s="44"/>
      <c r="E158" s="11"/>
      <c r="F158" s="18"/>
      <c r="H158" s="11"/>
      <c r="I158" s="11"/>
      <c r="J158" s="63"/>
      <c r="K158" s="11"/>
      <c r="L158" s="11"/>
      <c r="M158" s="11"/>
      <c r="N158" s="63"/>
      <c r="O158" s="11"/>
      <c r="P158" s="11"/>
      <c r="Q158" s="11"/>
      <c r="S158" s="47"/>
      <c r="T158" s="45"/>
      <c r="U158" s="46"/>
      <c r="V158" s="109"/>
    </row>
    <row r="159" spans="1:22" s="12" customFormat="1" ht="16.2" x14ac:dyDescent="0.35">
      <c r="A159" s="11"/>
      <c r="B159" s="42"/>
      <c r="C159" s="43"/>
      <c r="D159" s="44"/>
      <c r="E159" s="11"/>
      <c r="F159" s="18"/>
      <c r="H159" s="11"/>
      <c r="I159" s="11"/>
      <c r="J159" s="63"/>
      <c r="K159" s="11"/>
      <c r="L159" s="11"/>
      <c r="M159" s="11"/>
      <c r="N159" s="63"/>
      <c r="O159" s="11"/>
      <c r="P159" s="11"/>
      <c r="Q159" s="11"/>
      <c r="S159" s="47"/>
      <c r="T159" s="45"/>
      <c r="U159" s="46"/>
      <c r="V159" s="109"/>
    </row>
    <row r="160" spans="1:22" s="12" customFormat="1" ht="16.2" x14ac:dyDescent="0.35">
      <c r="A160" s="11"/>
      <c r="B160" s="42"/>
      <c r="C160" s="43"/>
      <c r="D160" s="44"/>
      <c r="E160" s="11"/>
      <c r="F160" s="18"/>
      <c r="H160" s="11"/>
      <c r="I160" s="11"/>
      <c r="J160" s="63"/>
      <c r="K160" s="11"/>
      <c r="L160" s="11"/>
      <c r="M160" s="11"/>
      <c r="N160" s="63"/>
      <c r="O160" s="11"/>
      <c r="P160" s="11"/>
      <c r="Q160" s="11"/>
      <c r="S160" s="47"/>
      <c r="T160" s="45"/>
      <c r="U160" s="46"/>
      <c r="V160" s="109"/>
    </row>
    <row r="161" spans="1:22" s="12" customFormat="1" ht="16.2" x14ac:dyDescent="0.35">
      <c r="A161" s="11"/>
      <c r="B161" s="42"/>
      <c r="C161" s="43"/>
      <c r="D161" s="44"/>
      <c r="E161" s="11"/>
      <c r="F161" s="18"/>
      <c r="H161" s="11"/>
      <c r="I161" s="11"/>
      <c r="J161" s="63"/>
      <c r="K161" s="11"/>
      <c r="L161" s="11"/>
      <c r="M161" s="11"/>
      <c r="N161" s="63"/>
      <c r="O161" s="11"/>
      <c r="P161" s="11"/>
      <c r="Q161" s="11"/>
      <c r="S161" s="47"/>
      <c r="T161" s="45"/>
      <c r="U161" s="46"/>
      <c r="V161" s="109"/>
    </row>
    <row r="162" spans="1:22" s="12" customFormat="1" ht="16.2" x14ac:dyDescent="0.35">
      <c r="A162" s="11"/>
      <c r="B162" s="42"/>
      <c r="C162" s="43"/>
      <c r="D162" s="44"/>
      <c r="E162" s="11"/>
      <c r="F162" s="18"/>
      <c r="H162" s="11"/>
      <c r="I162" s="11"/>
      <c r="J162" s="63"/>
      <c r="K162" s="11"/>
      <c r="L162" s="11"/>
      <c r="M162" s="11"/>
      <c r="N162" s="63"/>
      <c r="O162" s="11"/>
      <c r="P162" s="11"/>
      <c r="Q162" s="11"/>
      <c r="S162" s="47"/>
      <c r="T162" s="45"/>
      <c r="U162" s="46"/>
      <c r="V162" s="109"/>
    </row>
    <row r="163" spans="1:22" s="12" customFormat="1" ht="16.2" x14ac:dyDescent="0.35">
      <c r="A163" s="11"/>
      <c r="B163" s="42"/>
      <c r="C163" s="43"/>
      <c r="D163" s="44"/>
      <c r="E163" s="11"/>
      <c r="F163" s="18"/>
      <c r="H163" s="11"/>
      <c r="I163" s="11"/>
      <c r="J163" s="63"/>
      <c r="K163" s="11"/>
      <c r="L163" s="11"/>
      <c r="M163" s="11"/>
      <c r="N163" s="63"/>
      <c r="O163" s="11"/>
      <c r="P163" s="11"/>
      <c r="Q163" s="11"/>
      <c r="S163" s="47"/>
      <c r="T163" s="45"/>
      <c r="U163" s="46"/>
      <c r="V163" s="109"/>
    </row>
    <row r="164" spans="1:22" s="12" customFormat="1" ht="16.2" x14ac:dyDescent="0.35">
      <c r="A164" s="11"/>
      <c r="B164" s="42"/>
      <c r="C164" s="43"/>
      <c r="D164" s="44"/>
      <c r="E164" s="11"/>
      <c r="F164" s="18"/>
      <c r="H164" s="11"/>
      <c r="I164" s="11"/>
      <c r="J164" s="63"/>
      <c r="K164" s="11"/>
      <c r="L164" s="11"/>
      <c r="M164" s="11"/>
      <c r="N164" s="63"/>
      <c r="O164" s="11"/>
      <c r="P164" s="11"/>
      <c r="Q164" s="11"/>
      <c r="S164" s="47"/>
      <c r="T164" s="45"/>
      <c r="U164" s="46"/>
      <c r="V164" s="109"/>
    </row>
    <row r="165" spans="1:22" s="12" customFormat="1" ht="16.2" x14ac:dyDescent="0.35">
      <c r="A165" s="11"/>
      <c r="B165" s="42"/>
      <c r="C165" s="43"/>
      <c r="D165" s="44"/>
      <c r="E165" s="11"/>
      <c r="F165" s="18"/>
      <c r="H165" s="11"/>
      <c r="I165" s="11"/>
      <c r="J165" s="63"/>
      <c r="K165" s="11"/>
      <c r="L165" s="11"/>
      <c r="M165" s="11"/>
      <c r="N165" s="63"/>
      <c r="O165" s="11"/>
      <c r="P165" s="11"/>
      <c r="Q165" s="11"/>
      <c r="S165" s="47"/>
      <c r="T165" s="45"/>
      <c r="U165" s="46"/>
      <c r="V165" s="109"/>
    </row>
  </sheetData>
  <autoFilter ref="B2:V98" xr:uid="{238D2FA6-7978-4175-B5FA-99A4E8F5D8E0}"/>
  <mergeCells count="101">
    <mergeCell ref="E3:E4"/>
    <mergeCell ref="F3:F4"/>
    <mergeCell ref="E5:E6"/>
    <mergeCell ref="F5:F6"/>
    <mergeCell ref="A7:A8"/>
    <mergeCell ref="B7:B8"/>
    <mergeCell ref="C7:C8"/>
    <mergeCell ref="A9:A10"/>
    <mergeCell ref="B9:B10"/>
    <mergeCell ref="C9:C10"/>
    <mergeCell ref="A3:A6"/>
    <mergeCell ref="B3:B6"/>
    <mergeCell ref="C3:C6"/>
    <mergeCell ref="A11:A12"/>
    <mergeCell ref="B11:B12"/>
    <mergeCell ref="C11:C12"/>
    <mergeCell ref="E11:E12"/>
    <mergeCell ref="F11:F12"/>
    <mergeCell ref="A13:A19"/>
    <mergeCell ref="B13:B19"/>
    <mergeCell ref="C13:C19"/>
    <mergeCell ref="E13:E19"/>
    <mergeCell ref="F13:F19"/>
    <mergeCell ref="B35:F35"/>
    <mergeCell ref="T41:T42"/>
    <mergeCell ref="A41:A43"/>
    <mergeCell ref="C41:C43"/>
    <mergeCell ref="B41:B43"/>
    <mergeCell ref="A20:A23"/>
    <mergeCell ref="B20:B23"/>
    <mergeCell ref="C20:C23"/>
    <mergeCell ref="A29:A30"/>
    <mergeCell ref="B29:B30"/>
    <mergeCell ref="C29:C30"/>
    <mergeCell ref="V41:V42"/>
    <mergeCell ref="T43:T44"/>
    <mergeCell ref="U43:U44"/>
    <mergeCell ref="V43:V44"/>
    <mergeCell ref="A45:A47"/>
    <mergeCell ref="B45:B47"/>
    <mergeCell ref="C45:C47"/>
    <mergeCell ref="D45:D47"/>
    <mergeCell ref="U41:U42"/>
    <mergeCell ref="T52:T53"/>
    <mergeCell ref="U52:U53"/>
    <mergeCell ref="V52:V53"/>
    <mergeCell ref="T54:T55"/>
    <mergeCell ref="U54:U55"/>
    <mergeCell ref="V54:V55"/>
    <mergeCell ref="A49:A51"/>
    <mergeCell ref="B49:B51"/>
    <mergeCell ref="C49:C51"/>
    <mergeCell ref="D49:D51"/>
    <mergeCell ref="A52:A55"/>
    <mergeCell ref="B52:B55"/>
    <mergeCell ref="C52:C55"/>
    <mergeCell ref="D52:D55"/>
    <mergeCell ref="T62:T63"/>
    <mergeCell ref="U62:U63"/>
    <mergeCell ref="A73:A74"/>
    <mergeCell ref="C73:C74"/>
    <mergeCell ref="A62:A64"/>
    <mergeCell ref="C62:C64"/>
    <mergeCell ref="B73:B74"/>
    <mergeCell ref="B66:B72"/>
    <mergeCell ref="B62:B64"/>
    <mergeCell ref="V70:V71"/>
    <mergeCell ref="A75:A76"/>
    <mergeCell ref="C75:C76"/>
    <mergeCell ref="D75:D76"/>
    <mergeCell ref="A81:A82"/>
    <mergeCell ref="C81:C82"/>
    <mergeCell ref="D81:D82"/>
    <mergeCell ref="T81:T82"/>
    <mergeCell ref="U81:U82"/>
    <mergeCell ref="A66:A72"/>
    <mergeCell ref="C66:C72"/>
    <mergeCell ref="D66:D72"/>
    <mergeCell ref="T70:T71"/>
    <mergeCell ref="U70:U71"/>
    <mergeCell ref="B75:B76"/>
    <mergeCell ref="B96:F96"/>
    <mergeCell ref="V81:V82"/>
    <mergeCell ref="A79:A80"/>
    <mergeCell ref="C79:C80"/>
    <mergeCell ref="D79:D80"/>
    <mergeCell ref="B79:B80"/>
    <mergeCell ref="B81:B82"/>
    <mergeCell ref="A87:A89"/>
    <mergeCell ref="B87:B89"/>
    <mergeCell ref="C87:C89"/>
    <mergeCell ref="D87:D89"/>
    <mergeCell ref="D56:D59"/>
    <mergeCell ref="A90:A95"/>
    <mergeCell ref="B90:B95"/>
    <mergeCell ref="C90:C95"/>
    <mergeCell ref="D90:D95"/>
    <mergeCell ref="D62:D64"/>
    <mergeCell ref="C56:C59"/>
    <mergeCell ref="B56:B59"/>
    <mergeCell ref="A56:A59"/>
  </mergeCells>
  <phoneticPr fontId="24" type="noConversion"/>
  <printOptions horizontalCentered="1"/>
  <pageMargins left="0.25" right="0.25" top="0.75" bottom="0.75" header="0.3" footer="0.3"/>
  <pageSetup paperSize="9" scale="53" orientation="landscape" r:id="rId1"/>
  <rowBreaks count="3" manualBreakCount="3">
    <brk id="35" max="17" man="1"/>
    <brk id="55" max="17" man="1"/>
    <brk id="89" max="1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448D-C4D6-4528-A160-A3D7ADC95B35}">
  <dimension ref="A1:E47"/>
  <sheetViews>
    <sheetView view="pageBreakPreview" topLeftCell="A29" zoomScaleNormal="100" zoomScaleSheetLayoutView="100" workbookViewId="0">
      <selection activeCell="C9" sqref="C9"/>
    </sheetView>
  </sheetViews>
  <sheetFormatPr defaultRowHeight="14.4" x14ac:dyDescent="0.3"/>
  <cols>
    <col min="2" max="2" width="16.21875" customWidth="1"/>
    <col min="3" max="3" width="10.5546875" customWidth="1"/>
    <col min="4" max="4" width="9.6640625" customWidth="1"/>
  </cols>
  <sheetData>
    <row r="1" spans="1:5" ht="18" x14ac:dyDescent="0.3">
      <c r="A1" s="406" t="s">
        <v>126</v>
      </c>
      <c r="B1" s="406"/>
      <c r="C1" s="406"/>
      <c r="D1" s="406"/>
      <c r="E1" s="406"/>
    </row>
    <row r="2" spans="1:5" ht="15.6" x14ac:dyDescent="0.3">
      <c r="A2" s="101"/>
      <c r="E2" s="102"/>
    </row>
    <row r="3" spans="1:5" ht="18" x14ac:dyDescent="0.3">
      <c r="A3" s="407" t="s">
        <v>127</v>
      </c>
      <c r="B3" s="407"/>
      <c r="C3" s="407"/>
      <c r="D3" s="407"/>
      <c r="E3" s="407"/>
    </row>
    <row r="4" spans="1:5" ht="31.2" x14ac:dyDescent="0.3">
      <c r="A4" s="103" t="s">
        <v>128</v>
      </c>
      <c r="B4" s="103" t="s">
        <v>129</v>
      </c>
      <c r="C4" s="103" t="s">
        <v>130</v>
      </c>
      <c r="D4" s="103" t="s">
        <v>131</v>
      </c>
      <c r="E4" s="103" t="s">
        <v>132</v>
      </c>
    </row>
    <row r="5" spans="1:5" ht="15.6" x14ac:dyDescent="0.3">
      <c r="A5" s="104">
        <v>1</v>
      </c>
      <c r="B5" s="104">
        <v>3171</v>
      </c>
      <c r="C5" s="106">
        <v>34</v>
      </c>
      <c r="D5" s="181">
        <v>17</v>
      </c>
      <c r="E5" s="181">
        <f>D5/1.65</f>
        <v>10.303030303030303</v>
      </c>
    </row>
    <row r="6" spans="1:5" ht="15.6" x14ac:dyDescent="0.3">
      <c r="A6" s="104">
        <v>2</v>
      </c>
      <c r="B6" s="104">
        <v>3173</v>
      </c>
      <c r="C6" s="106">
        <v>28</v>
      </c>
      <c r="D6" s="181">
        <v>28</v>
      </c>
      <c r="E6" s="181">
        <f t="shared" ref="E6:E9" si="0">D6/1.65</f>
        <v>16.969696969696969</v>
      </c>
    </row>
    <row r="7" spans="1:5" ht="15.6" x14ac:dyDescent="0.3">
      <c r="A7" s="104">
        <v>3</v>
      </c>
      <c r="B7" s="104" t="s">
        <v>157</v>
      </c>
      <c r="C7" s="106">
        <v>13</v>
      </c>
      <c r="D7" s="181">
        <v>13</v>
      </c>
      <c r="E7" s="181">
        <f t="shared" si="0"/>
        <v>7.8787878787878789</v>
      </c>
    </row>
    <row r="8" spans="1:5" ht="15.6" x14ac:dyDescent="0.3">
      <c r="A8" s="104">
        <v>4</v>
      </c>
      <c r="B8" s="104">
        <v>3174</v>
      </c>
      <c r="C8" s="106">
        <v>73</v>
      </c>
      <c r="D8" s="181">
        <v>73</v>
      </c>
      <c r="E8" s="181">
        <f t="shared" si="0"/>
        <v>44.242424242424242</v>
      </c>
    </row>
    <row r="9" spans="1:5" ht="15.6" x14ac:dyDescent="0.3">
      <c r="A9" s="104">
        <v>5</v>
      </c>
      <c r="B9" s="104" t="s">
        <v>0</v>
      </c>
      <c r="C9" s="106">
        <v>21</v>
      </c>
      <c r="D9" s="181">
        <v>21</v>
      </c>
      <c r="E9" s="181">
        <f t="shared" si="0"/>
        <v>12.727272727272728</v>
      </c>
    </row>
    <row r="10" spans="1:5" ht="15.6" x14ac:dyDescent="0.3">
      <c r="A10" s="408" t="s">
        <v>133</v>
      </c>
      <c r="B10" s="409"/>
      <c r="C10" s="105">
        <f>SUM(C5:C9)</f>
        <v>169</v>
      </c>
      <c r="D10" s="182">
        <f>SUM(D5:D9)</f>
        <v>152</v>
      </c>
      <c r="E10" s="182">
        <f>SUM(E5:E9)</f>
        <v>92.121212121212139</v>
      </c>
    </row>
    <row r="11" spans="1:5" ht="15.6" x14ac:dyDescent="0.3">
      <c r="A11" s="101"/>
      <c r="E11" s="102"/>
    </row>
    <row r="12" spans="1:5" ht="18" x14ac:dyDescent="0.3">
      <c r="A12" s="410" t="s">
        <v>134</v>
      </c>
      <c r="B12" s="411"/>
      <c r="C12" s="411"/>
      <c r="D12" s="411"/>
      <c r="E12" s="412"/>
    </row>
    <row r="13" spans="1:5" ht="31.2" x14ac:dyDescent="0.3">
      <c r="A13" s="183" t="s">
        <v>128</v>
      </c>
      <c r="B13" s="183"/>
      <c r="C13" s="183" t="s">
        <v>129</v>
      </c>
      <c r="D13" s="183" t="s">
        <v>131</v>
      </c>
      <c r="E13" s="183" t="s">
        <v>132</v>
      </c>
    </row>
    <row r="14" spans="1:5" ht="15.6" x14ac:dyDescent="0.3">
      <c r="A14" s="413" t="s">
        <v>158</v>
      </c>
      <c r="B14" s="416" t="s">
        <v>135</v>
      </c>
      <c r="C14" s="184">
        <v>3171</v>
      </c>
      <c r="D14" s="185"/>
      <c r="E14" s="185">
        <f>D14/1.65</f>
        <v>0</v>
      </c>
    </row>
    <row r="15" spans="1:5" ht="15.6" x14ac:dyDescent="0.3">
      <c r="A15" s="414"/>
      <c r="B15" s="417"/>
      <c r="C15" s="184">
        <v>3174</v>
      </c>
      <c r="D15" s="185">
        <v>2.6061000000000001</v>
      </c>
      <c r="E15" s="185">
        <f>D15/1.65</f>
        <v>1.5794545454545457</v>
      </c>
    </row>
    <row r="16" spans="1:5" ht="15.6" x14ac:dyDescent="0.3">
      <c r="A16" s="415"/>
      <c r="B16" s="418"/>
      <c r="C16" s="184" t="s">
        <v>0</v>
      </c>
      <c r="D16" s="185">
        <v>0.75</v>
      </c>
      <c r="E16" s="185">
        <f>D16/1.65</f>
        <v>0.45454545454545459</v>
      </c>
    </row>
    <row r="17" spans="1:5" ht="15.6" x14ac:dyDescent="0.3">
      <c r="A17" s="413" t="s">
        <v>137</v>
      </c>
      <c r="B17" s="413" t="s">
        <v>12</v>
      </c>
      <c r="C17" s="184">
        <v>3171</v>
      </c>
      <c r="D17" s="185">
        <v>4.25</v>
      </c>
      <c r="E17" s="185">
        <f>D17/1.65</f>
        <v>2.5757575757575757</v>
      </c>
    </row>
    <row r="18" spans="1:5" ht="15.6" x14ac:dyDescent="0.3">
      <c r="A18" s="414"/>
      <c r="B18" s="414"/>
      <c r="C18" s="184">
        <v>3174</v>
      </c>
      <c r="D18" s="185"/>
      <c r="E18" s="185">
        <f t="shared" ref="E18:E46" si="1">D18/1.65</f>
        <v>0</v>
      </c>
    </row>
    <row r="19" spans="1:5" ht="15.6" x14ac:dyDescent="0.3">
      <c r="A19" s="415"/>
      <c r="B19" s="415"/>
      <c r="C19" s="184" t="s">
        <v>0</v>
      </c>
      <c r="D19" s="185"/>
      <c r="E19" s="185">
        <f t="shared" si="1"/>
        <v>0</v>
      </c>
    </row>
    <row r="20" spans="1:5" ht="15.6" x14ac:dyDescent="0.3">
      <c r="A20" s="413" t="s">
        <v>140</v>
      </c>
      <c r="B20" s="413" t="s">
        <v>136</v>
      </c>
      <c r="C20" s="184">
        <v>3171</v>
      </c>
      <c r="D20" s="185"/>
      <c r="E20" s="185">
        <f t="shared" si="1"/>
        <v>0</v>
      </c>
    </row>
    <row r="21" spans="1:5" ht="15.6" x14ac:dyDescent="0.3">
      <c r="A21" s="414"/>
      <c r="B21" s="414"/>
      <c r="C21" s="184">
        <v>3174</v>
      </c>
      <c r="D21" s="185">
        <v>34.76</v>
      </c>
      <c r="E21" s="185">
        <f t="shared" si="1"/>
        <v>21.066666666666666</v>
      </c>
    </row>
    <row r="22" spans="1:5" ht="15.6" x14ac:dyDescent="0.3">
      <c r="A22" s="415"/>
      <c r="B22" s="415"/>
      <c r="C22" s="184" t="s">
        <v>0</v>
      </c>
      <c r="D22" s="185">
        <v>9.8000000000000007</v>
      </c>
      <c r="E22" s="185">
        <f t="shared" si="1"/>
        <v>5.9393939393939403</v>
      </c>
    </row>
    <row r="23" spans="1:5" ht="15.6" x14ac:dyDescent="0.3">
      <c r="A23" s="413" t="s">
        <v>148</v>
      </c>
      <c r="B23" s="413" t="s">
        <v>138</v>
      </c>
      <c r="C23" s="184">
        <v>3171</v>
      </c>
      <c r="D23" s="185"/>
      <c r="E23" s="185">
        <f t="shared" si="1"/>
        <v>0</v>
      </c>
    </row>
    <row r="24" spans="1:5" ht="15.6" x14ac:dyDescent="0.3">
      <c r="A24" s="414"/>
      <c r="B24" s="414"/>
      <c r="C24" s="184">
        <v>3174</v>
      </c>
      <c r="D24" s="185">
        <v>8.69</v>
      </c>
      <c r="E24" s="185">
        <f t="shared" si="1"/>
        <v>5.2666666666666666</v>
      </c>
    </row>
    <row r="25" spans="1:5" ht="15.6" x14ac:dyDescent="0.3">
      <c r="A25" s="415"/>
      <c r="B25" s="415"/>
      <c r="C25" s="184" t="s">
        <v>0</v>
      </c>
      <c r="D25" s="185">
        <v>2.4500000000000002</v>
      </c>
      <c r="E25" s="185">
        <f t="shared" si="1"/>
        <v>1.4848484848484851</v>
      </c>
    </row>
    <row r="26" spans="1:5" ht="15.6" x14ac:dyDescent="0.3">
      <c r="A26" s="413" t="s">
        <v>149</v>
      </c>
      <c r="B26" s="413" t="s">
        <v>139</v>
      </c>
      <c r="C26" s="184">
        <v>3171</v>
      </c>
      <c r="D26" s="186">
        <v>0.8125</v>
      </c>
      <c r="E26" s="185">
        <f t="shared" si="1"/>
        <v>0.49242424242424243</v>
      </c>
    </row>
    <row r="27" spans="1:5" ht="15.6" x14ac:dyDescent="0.3">
      <c r="A27" s="414"/>
      <c r="B27" s="414"/>
      <c r="C27" s="184">
        <v>3174</v>
      </c>
      <c r="D27" s="185"/>
      <c r="E27" s="185">
        <f t="shared" si="1"/>
        <v>0</v>
      </c>
    </row>
    <row r="28" spans="1:5" ht="15.6" x14ac:dyDescent="0.3">
      <c r="A28" s="415"/>
      <c r="B28" s="415"/>
      <c r="C28" s="184" t="s">
        <v>0</v>
      </c>
      <c r="D28" s="185"/>
      <c r="E28" s="185">
        <f t="shared" si="1"/>
        <v>0</v>
      </c>
    </row>
    <row r="29" spans="1:5" ht="15.6" x14ac:dyDescent="0.3">
      <c r="A29" s="413" t="s">
        <v>150</v>
      </c>
      <c r="B29" s="413" t="s">
        <v>141</v>
      </c>
      <c r="C29" s="184">
        <v>3171</v>
      </c>
      <c r="D29" s="185"/>
      <c r="E29" s="185">
        <f t="shared" si="1"/>
        <v>0</v>
      </c>
    </row>
    <row r="30" spans="1:5" ht="15.6" x14ac:dyDescent="0.3">
      <c r="A30" s="414"/>
      <c r="B30" s="414"/>
      <c r="C30" s="184">
        <v>3174</v>
      </c>
      <c r="D30" s="186">
        <v>2.6061000000000001</v>
      </c>
      <c r="E30" s="185">
        <f t="shared" si="1"/>
        <v>1.5794545454545457</v>
      </c>
    </row>
    <row r="31" spans="1:5" ht="15.6" x14ac:dyDescent="0.3">
      <c r="A31" s="415"/>
      <c r="B31" s="415"/>
      <c r="C31" s="184" t="s">
        <v>0</v>
      </c>
      <c r="D31" s="185">
        <v>0.75</v>
      </c>
      <c r="E31" s="185">
        <f t="shared" si="1"/>
        <v>0.45454545454545459</v>
      </c>
    </row>
    <row r="32" spans="1:5" ht="15.6" x14ac:dyDescent="0.3">
      <c r="A32" s="413" t="s">
        <v>159</v>
      </c>
      <c r="B32" s="416" t="s">
        <v>37</v>
      </c>
      <c r="C32" s="184">
        <v>3171</v>
      </c>
      <c r="D32" s="185"/>
      <c r="E32" s="185">
        <f t="shared" si="1"/>
        <v>0</v>
      </c>
    </row>
    <row r="33" spans="1:5" ht="15.6" x14ac:dyDescent="0.3">
      <c r="A33" s="414"/>
      <c r="B33" s="414"/>
      <c r="C33" s="184">
        <v>3174</v>
      </c>
      <c r="D33" s="185">
        <v>2.8250000000000002</v>
      </c>
      <c r="E33" s="185">
        <f t="shared" si="1"/>
        <v>1.7121212121212124</v>
      </c>
    </row>
    <row r="34" spans="1:5" ht="15.6" x14ac:dyDescent="0.3">
      <c r="A34" s="415"/>
      <c r="B34" s="415"/>
      <c r="C34" s="184" t="s">
        <v>0</v>
      </c>
      <c r="D34" s="185">
        <v>1.5249999999999999</v>
      </c>
      <c r="E34" s="185">
        <f t="shared" si="1"/>
        <v>0.9242424242424242</v>
      </c>
    </row>
    <row r="35" spans="1:5" ht="15.6" x14ac:dyDescent="0.3">
      <c r="A35" s="413" t="s">
        <v>160</v>
      </c>
      <c r="B35" s="413" t="s">
        <v>143</v>
      </c>
      <c r="C35" s="184">
        <v>3171</v>
      </c>
      <c r="D35" s="185"/>
      <c r="E35" s="185">
        <f t="shared" si="1"/>
        <v>0</v>
      </c>
    </row>
    <row r="36" spans="1:5" ht="15.6" x14ac:dyDescent="0.3">
      <c r="A36" s="414"/>
      <c r="B36" s="414"/>
      <c r="C36" s="184">
        <v>3174</v>
      </c>
      <c r="D36" s="185">
        <v>9.1999999999999993</v>
      </c>
      <c r="E36" s="185">
        <f t="shared" si="1"/>
        <v>5.5757575757575752</v>
      </c>
    </row>
    <row r="37" spans="1:5" ht="15.6" x14ac:dyDescent="0.3">
      <c r="A37" s="415"/>
      <c r="B37" s="415"/>
      <c r="C37" s="184" t="s">
        <v>0</v>
      </c>
      <c r="D37" s="185">
        <v>2.4500000000000002</v>
      </c>
      <c r="E37" s="185">
        <f t="shared" si="1"/>
        <v>1.4848484848484851</v>
      </c>
    </row>
    <row r="38" spans="1:5" ht="15.6" hidden="1" x14ac:dyDescent="0.3">
      <c r="A38" s="413" t="s">
        <v>161</v>
      </c>
      <c r="B38" s="413" t="s">
        <v>162</v>
      </c>
      <c r="C38" s="184"/>
      <c r="D38" s="185"/>
      <c r="E38" s="185">
        <f t="shared" si="1"/>
        <v>0</v>
      </c>
    </row>
    <row r="39" spans="1:5" ht="15.6" hidden="1" x14ac:dyDescent="0.3">
      <c r="A39" s="414"/>
      <c r="B39" s="414"/>
      <c r="C39" s="184"/>
      <c r="D39" s="185"/>
      <c r="E39" s="185">
        <f t="shared" si="1"/>
        <v>0</v>
      </c>
    </row>
    <row r="40" spans="1:5" ht="15.6" hidden="1" x14ac:dyDescent="0.3">
      <c r="A40" s="415"/>
      <c r="B40" s="415"/>
      <c r="C40" s="184"/>
      <c r="D40" s="185"/>
      <c r="E40" s="185">
        <f t="shared" si="1"/>
        <v>0</v>
      </c>
    </row>
    <row r="41" spans="1:5" ht="15.6" hidden="1" x14ac:dyDescent="0.3">
      <c r="A41" s="413" t="s">
        <v>161</v>
      </c>
      <c r="B41" s="413" t="s">
        <v>162</v>
      </c>
      <c r="C41" s="184"/>
      <c r="D41" s="185"/>
      <c r="E41" s="185">
        <f t="shared" si="1"/>
        <v>0</v>
      </c>
    </row>
    <row r="42" spans="1:5" ht="15.6" hidden="1" x14ac:dyDescent="0.3">
      <c r="A42" s="414"/>
      <c r="B42" s="414"/>
      <c r="C42" s="184"/>
      <c r="D42" s="185"/>
      <c r="E42" s="185">
        <f t="shared" si="1"/>
        <v>0</v>
      </c>
    </row>
    <row r="43" spans="1:5" ht="15.6" hidden="1" x14ac:dyDescent="0.3">
      <c r="A43" s="415"/>
      <c r="B43" s="415"/>
      <c r="C43" s="184"/>
      <c r="D43" s="185"/>
      <c r="E43" s="185">
        <f t="shared" si="1"/>
        <v>0</v>
      </c>
    </row>
    <row r="44" spans="1:5" ht="15.6" hidden="1" x14ac:dyDescent="0.3">
      <c r="A44" s="413" t="s">
        <v>161</v>
      </c>
      <c r="B44" s="413" t="s">
        <v>162</v>
      </c>
      <c r="C44" s="184"/>
      <c r="D44" s="185"/>
      <c r="E44" s="185">
        <f t="shared" si="1"/>
        <v>0</v>
      </c>
    </row>
    <row r="45" spans="1:5" ht="15.6" hidden="1" x14ac:dyDescent="0.3">
      <c r="A45" s="414"/>
      <c r="B45" s="414"/>
      <c r="C45" s="184"/>
      <c r="D45" s="185"/>
      <c r="E45" s="185">
        <f t="shared" si="1"/>
        <v>0</v>
      </c>
    </row>
    <row r="46" spans="1:5" ht="15.6" hidden="1" x14ac:dyDescent="0.3">
      <c r="A46" s="415"/>
      <c r="B46" s="415"/>
      <c r="C46" s="184"/>
      <c r="D46" s="185"/>
      <c r="E46" s="185">
        <f t="shared" si="1"/>
        <v>0</v>
      </c>
    </row>
    <row r="47" spans="1:5" ht="15.6" x14ac:dyDescent="0.3">
      <c r="A47" s="419" t="s">
        <v>133</v>
      </c>
      <c r="B47" s="419"/>
      <c r="C47" s="419"/>
      <c r="D47" s="187">
        <f>SUM(D14:D46)</f>
        <v>83.474700000000013</v>
      </c>
      <c r="E47" s="187">
        <f>SUM(E14:E46)</f>
        <v>50.590727272727271</v>
      </c>
    </row>
  </sheetData>
  <mergeCells count="27">
    <mergeCell ref="A44:A46"/>
    <mergeCell ref="B44:B46"/>
    <mergeCell ref="A47:C47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1:E1"/>
    <mergeCell ref="A3:E3"/>
    <mergeCell ref="A10:B10"/>
    <mergeCell ref="A12:E12"/>
    <mergeCell ref="A14:A16"/>
    <mergeCell ref="B14:B16"/>
  </mergeCells>
  <pageMargins left="0.7" right="0.7" top="0.75" bottom="0.75" header="0.3" footer="0.3"/>
  <pageSetup paperSize="9" scale="10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4FD5-C5B3-4E8F-AC2F-D5A3B712A75B}">
  <dimension ref="A1:K14"/>
  <sheetViews>
    <sheetView workbookViewId="0">
      <selection activeCell="E25" sqref="E25"/>
    </sheetView>
  </sheetViews>
  <sheetFormatPr defaultRowHeight="14.4" x14ac:dyDescent="0.3"/>
  <cols>
    <col min="2" max="2" width="13" customWidth="1"/>
    <col min="3" max="3" width="11.33203125" customWidth="1"/>
  </cols>
  <sheetData>
    <row r="1" spans="1:11" ht="15.6" x14ac:dyDescent="0.3">
      <c r="A1" s="420" t="s">
        <v>163</v>
      </c>
      <c r="B1" s="421"/>
      <c r="C1" s="421"/>
      <c r="D1" s="421"/>
      <c r="E1" s="194"/>
      <c r="F1" s="195">
        <v>3173</v>
      </c>
      <c r="G1" s="188" t="s">
        <v>157</v>
      </c>
      <c r="H1" s="195"/>
      <c r="I1" s="194"/>
      <c r="J1" s="188"/>
      <c r="K1" s="196"/>
    </row>
    <row r="2" spans="1:11" ht="16.2" thickBot="1" x14ac:dyDescent="0.35">
      <c r="A2" s="203"/>
      <c r="B2" s="204"/>
      <c r="C2" s="204"/>
      <c r="D2" s="204"/>
      <c r="E2" s="205"/>
      <c r="F2" s="206">
        <v>28</v>
      </c>
      <c r="G2" s="204">
        <v>13</v>
      </c>
      <c r="H2" s="206"/>
      <c r="I2" s="205"/>
      <c r="J2" s="204"/>
      <c r="K2" s="207"/>
    </row>
    <row r="3" spans="1:11" ht="15.6" x14ac:dyDescent="0.3">
      <c r="A3" s="208" t="s">
        <v>164</v>
      </c>
      <c r="B3" s="209" t="s">
        <v>165</v>
      </c>
      <c r="C3" s="210" t="s">
        <v>166</v>
      </c>
      <c r="D3" s="210"/>
      <c r="E3" s="210" t="s">
        <v>167</v>
      </c>
      <c r="F3" s="211" t="s">
        <v>168</v>
      </c>
      <c r="G3" s="210" t="s">
        <v>168</v>
      </c>
      <c r="H3" s="211" t="s">
        <v>169</v>
      </c>
      <c r="I3" s="210" t="s">
        <v>170</v>
      </c>
      <c r="J3" s="210" t="s">
        <v>171</v>
      </c>
      <c r="K3" s="212" t="s">
        <v>172</v>
      </c>
    </row>
    <row r="4" spans="1:11" x14ac:dyDescent="0.3">
      <c r="A4" s="197">
        <v>1</v>
      </c>
      <c r="B4" s="191" t="s">
        <v>173</v>
      </c>
      <c r="C4" s="191"/>
      <c r="D4" s="189"/>
      <c r="E4" s="192">
        <v>0.75</v>
      </c>
      <c r="F4" s="193">
        <v>21</v>
      </c>
      <c r="G4" s="192">
        <v>9.75</v>
      </c>
      <c r="H4" s="192">
        <v>30.75</v>
      </c>
      <c r="I4" s="193">
        <f t="shared" ref="I4:I13" si="0">H4/1.65</f>
        <v>18.636363636363637</v>
      </c>
      <c r="J4" s="189">
        <v>1300000</v>
      </c>
      <c r="K4" s="198">
        <f>I4*J4</f>
        <v>24227272.727272727</v>
      </c>
    </row>
    <row r="5" spans="1:11" x14ac:dyDescent="0.3">
      <c r="A5" s="197">
        <v>1</v>
      </c>
      <c r="B5" s="191" t="s">
        <v>174</v>
      </c>
      <c r="C5" s="191" t="s">
        <v>173</v>
      </c>
      <c r="D5" s="189" t="s">
        <v>175</v>
      </c>
      <c r="E5" s="192">
        <v>0.375</v>
      </c>
      <c r="F5" s="193">
        <v>10.5</v>
      </c>
      <c r="G5" s="192">
        <v>4.875</v>
      </c>
      <c r="H5" s="192">
        <v>15.375</v>
      </c>
      <c r="I5" s="193">
        <f t="shared" si="0"/>
        <v>9.3181818181818183</v>
      </c>
      <c r="J5" s="189">
        <v>1300000</v>
      </c>
      <c r="K5" s="198">
        <f t="shared" ref="K5:K6" si="1">I5*J5</f>
        <v>12113636.363636363</v>
      </c>
    </row>
    <row r="6" spans="1:11" x14ac:dyDescent="0.3">
      <c r="A6" s="197">
        <v>2</v>
      </c>
      <c r="B6" s="191" t="s">
        <v>176</v>
      </c>
      <c r="C6" s="191" t="s">
        <v>173</v>
      </c>
      <c r="D6" s="189" t="s">
        <v>177</v>
      </c>
      <c r="E6" s="192">
        <v>0.375</v>
      </c>
      <c r="F6" s="193">
        <v>10.5</v>
      </c>
      <c r="G6" s="192">
        <v>4.875</v>
      </c>
      <c r="H6" s="192">
        <v>15.375</v>
      </c>
      <c r="I6" s="193">
        <f>H6/1.65</f>
        <v>9.3181818181818183</v>
      </c>
      <c r="J6" s="189">
        <v>1300000</v>
      </c>
      <c r="K6" s="198">
        <f t="shared" si="1"/>
        <v>12113636.363636363</v>
      </c>
    </row>
    <row r="7" spans="1:11" x14ac:dyDescent="0.3">
      <c r="A7" s="197"/>
      <c r="B7" s="191"/>
      <c r="C7" s="191"/>
      <c r="D7" s="189"/>
      <c r="E7" s="192"/>
      <c r="F7" s="193"/>
      <c r="G7" s="192"/>
      <c r="H7" s="192"/>
      <c r="I7" s="193"/>
      <c r="J7" s="189"/>
      <c r="K7" s="198"/>
    </row>
    <row r="8" spans="1:11" x14ac:dyDescent="0.3">
      <c r="A8" s="197">
        <v>1</v>
      </c>
      <c r="B8" s="190" t="s">
        <v>178</v>
      </c>
      <c r="C8" s="191" t="s">
        <v>176</v>
      </c>
      <c r="D8" s="189" t="s">
        <v>175</v>
      </c>
      <c r="E8" s="192">
        <v>0.10714285714285714</v>
      </c>
      <c r="F8" s="193">
        <v>3</v>
      </c>
      <c r="G8" s="192">
        <v>1.3928571428571428</v>
      </c>
      <c r="H8" s="192">
        <v>4.3928571428571423</v>
      </c>
      <c r="I8" s="193">
        <f t="shared" si="0"/>
        <v>2.662337662337662</v>
      </c>
      <c r="J8" s="189">
        <v>1300000</v>
      </c>
      <c r="K8" s="198">
        <f>I8*J8</f>
        <v>3461038.9610389606</v>
      </c>
    </row>
    <row r="9" spans="1:11" x14ac:dyDescent="0.3">
      <c r="A9" s="197">
        <v>2</v>
      </c>
      <c r="B9" s="190" t="s">
        <v>179</v>
      </c>
      <c r="C9" s="191" t="s">
        <v>176</v>
      </c>
      <c r="D9" s="189" t="s">
        <v>180</v>
      </c>
      <c r="E9" s="192">
        <v>5.3571428571428568E-2</v>
      </c>
      <c r="F9" s="193">
        <v>1.5</v>
      </c>
      <c r="G9" s="192">
        <v>0.6964285714285714</v>
      </c>
      <c r="H9" s="192">
        <v>2.1964285714285712</v>
      </c>
      <c r="I9" s="193">
        <f t="shared" si="0"/>
        <v>1.331168831168831</v>
      </c>
      <c r="J9" s="189">
        <v>1300000</v>
      </c>
      <c r="K9" s="198">
        <f t="shared" ref="K9:K14" si="2">I9*J9</f>
        <v>1730519.4805194803</v>
      </c>
    </row>
    <row r="10" spans="1:11" x14ac:dyDescent="0.3">
      <c r="A10" s="197">
        <v>3</v>
      </c>
      <c r="B10" s="190" t="s">
        <v>181</v>
      </c>
      <c r="C10" s="191" t="s">
        <v>176</v>
      </c>
      <c r="D10" s="189" t="s">
        <v>182</v>
      </c>
      <c r="E10" s="192">
        <v>5.3571428571428568E-2</v>
      </c>
      <c r="F10" s="193">
        <v>1.5</v>
      </c>
      <c r="G10" s="192">
        <v>0.6964285714285714</v>
      </c>
      <c r="H10" s="192">
        <v>2.1964285714285712</v>
      </c>
      <c r="I10" s="193">
        <f t="shared" si="0"/>
        <v>1.331168831168831</v>
      </c>
      <c r="J10" s="189">
        <v>1300000</v>
      </c>
      <c r="K10" s="198">
        <f t="shared" si="2"/>
        <v>1730519.4805194803</v>
      </c>
    </row>
    <row r="11" spans="1:11" x14ac:dyDescent="0.3">
      <c r="A11" s="214">
        <v>4</v>
      </c>
      <c r="B11" s="215" t="s">
        <v>183</v>
      </c>
      <c r="C11" s="216" t="s">
        <v>176</v>
      </c>
      <c r="D11" s="217" t="s">
        <v>184</v>
      </c>
      <c r="E11" s="218">
        <v>5.3571428571428568E-2</v>
      </c>
      <c r="F11" s="219">
        <v>1.5</v>
      </c>
      <c r="G11" s="218">
        <v>0.6964285714285714</v>
      </c>
      <c r="H11" s="218">
        <v>2.1964285714285712</v>
      </c>
      <c r="I11" s="219">
        <f t="shared" si="0"/>
        <v>1.331168831168831</v>
      </c>
      <c r="J11" s="217">
        <v>1300000</v>
      </c>
      <c r="K11" s="220">
        <f t="shared" si="2"/>
        <v>1730519.4805194803</v>
      </c>
    </row>
    <row r="12" spans="1:11" x14ac:dyDescent="0.3">
      <c r="A12" s="197">
        <v>5</v>
      </c>
      <c r="B12" s="190" t="s">
        <v>185</v>
      </c>
      <c r="C12" s="191" t="s">
        <v>176</v>
      </c>
      <c r="D12" s="189" t="s">
        <v>186</v>
      </c>
      <c r="E12" s="192">
        <v>5.3571428571428568E-2</v>
      </c>
      <c r="F12" s="193">
        <v>1.5</v>
      </c>
      <c r="G12" s="192">
        <v>0.6964285714285714</v>
      </c>
      <c r="H12" s="192">
        <v>2.1964285714285712</v>
      </c>
      <c r="I12" s="193">
        <f t="shared" si="0"/>
        <v>1.331168831168831</v>
      </c>
      <c r="J12" s="189">
        <v>1300000</v>
      </c>
      <c r="K12" s="198">
        <f t="shared" si="2"/>
        <v>1730519.4805194803</v>
      </c>
    </row>
    <row r="13" spans="1:11" ht="15" thickBot="1" x14ac:dyDescent="0.35">
      <c r="A13" s="221">
        <v>6</v>
      </c>
      <c r="B13" s="222" t="s">
        <v>187</v>
      </c>
      <c r="C13" s="223" t="s">
        <v>176</v>
      </c>
      <c r="D13" s="224" t="s">
        <v>188</v>
      </c>
      <c r="E13" s="225">
        <v>5.3571428571428568E-2</v>
      </c>
      <c r="F13" s="226">
        <v>1.5</v>
      </c>
      <c r="G13" s="225">
        <v>0.6964285714285714</v>
      </c>
      <c r="H13" s="225">
        <v>2.1964285714285712</v>
      </c>
      <c r="I13" s="219">
        <f t="shared" si="0"/>
        <v>1.331168831168831</v>
      </c>
      <c r="J13" s="224">
        <v>1300000</v>
      </c>
      <c r="K13" s="220">
        <f t="shared" si="2"/>
        <v>1730519.4805194803</v>
      </c>
    </row>
    <row r="14" spans="1:11" ht="15" thickBot="1" x14ac:dyDescent="0.35">
      <c r="A14" s="199"/>
      <c r="B14" s="422" t="s">
        <v>189</v>
      </c>
      <c r="C14" s="422"/>
      <c r="D14" s="422"/>
      <c r="E14" s="422"/>
      <c r="F14" s="422"/>
      <c r="G14" s="423"/>
      <c r="H14" s="200">
        <v>15.374999999999998</v>
      </c>
      <c r="I14" s="201">
        <v>9.3181818181818183</v>
      </c>
      <c r="J14" s="202">
        <v>1300000</v>
      </c>
      <c r="K14" s="213">
        <f t="shared" si="2"/>
        <v>12113636.363636363</v>
      </c>
    </row>
  </sheetData>
  <mergeCells count="2">
    <mergeCell ref="A1:D1"/>
    <mergeCell ref="B14:G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C930-5570-4E1E-AF91-CEF3641FFD71}">
  <dimension ref="A1:R79"/>
  <sheetViews>
    <sheetView tabSelected="1" view="pageBreakPreview" zoomScale="70" zoomScaleNormal="70" zoomScaleSheetLayoutView="70" zoomScalePageLayoutView="40" workbookViewId="0">
      <selection activeCell="F17" sqref="F17"/>
    </sheetView>
  </sheetViews>
  <sheetFormatPr defaultRowHeight="14.4" x14ac:dyDescent="0.3"/>
  <cols>
    <col min="1" max="1" width="10" style="48" customWidth="1"/>
    <col min="2" max="2" width="11.77734375" style="49" customWidth="1"/>
    <col min="3" max="3" width="13.6640625" style="50" customWidth="1"/>
    <col min="4" max="4" width="28.44140625" style="51" customWidth="1"/>
    <col min="5" max="5" width="8.88671875" style="48"/>
    <col min="6" max="6" width="33.21875" style="52" customWidth="1"/>
    <col min="7" max="7" width="10.109375" customWidth="1"/>
    <col min="8" max="9" width="12.109375" style="48" hidden="1" customWidth="1"/>
    <col min="10" max="10" width="12.109375" style="64" hidden="1" customWidth="1"/>
    <col min="11" max="11" width="12.109375" style="48" hidden="1" customWidth="1"/>
    <col min="12" max="12" width="12.5546875" style="48" customWidth="1"/>
    <col min="13" max="13" width="12.109375" style="48" customWidth="1"/>
    <col min="14" max="14" width="10.5546875" customWidth="1"/>
    <col min="15" max="15" width="11.21875" style="53" customWidth="1"/>
    <col min="16" max="16" width="11.21875" style="54" customWidth="1"/>
    <col min="17" max="17" width="13.6640625" style="55" customWidth="1"/>
    <col min="18" max="18" width="11.109375" style="108" customWidth="1"/>
  </cols>
  <sheetData>
    <row r="1" spans="1:18" ht="21" customHeight="1" thickBot="1" x14ac:dyDescent="0.35">
      <c r="A1" s="94" t="s">
        <v>151</v>
      </c>
    </row>
    <row r="2" spans="1:18" s="1" customFormat="1" ht="66" customHeight="1" thickBot="1" x14ac:dyDescent="0.35">
      <c r="A2" s="232" t="s">
        <v>1</v>
      </c>
      <c r="B2" s="132" t="s">
        <v>2</v>
      </c>
      <c r="C2" s="133" t="s">
        <v>3</v>
      </c>
      <c r="D2" s="170" t="s">
        <v>4</v>
      </c>
      <c r="E2" s="161" t="s">
        <v>5</v>
      </c>
      <c r="F2" s="162" t="s">
        <v>6</v>
      </c>
      <c r="G2" s="177" t="s">
        <v>7</v>
      </c>
      <c r="H2" s="164" t="s">
        <v>117</v>
      </c>
      <c r="I2" s="164" t="s">
        <v>8</v>
      </c>
      <c r="J2" s="164" t="s">
        <v>119</v>
      </c>
      <c r="K2" s="165" t="s">
        <v>8</v>
      </c>
      <c r="L2" s="164" t="s">
        <v>118</v>
      </c>
      <c r="M2" s="164" t="s">
        <v>8</v>
      </c>
      <c r="N2" s="164" t="s">
        <v>120</v>
      </c>
      <c r="O2" s="166" t="s">
        <v>121</v>
      </c>
      <c r="P2" s="167" t="s">
        <v>42</v>
      </c>
      <c r="Q2" s="168" t="s">
        <v>43</v>
      </c>
      <c r="R2" s="169" t="s">
        <v>41</v>
      </c>
    </row>
    <row r="3" spans="1:18" s="12" customFormat="1" ht="25.2" customHeight="1" x14ac:dyDescent="0.35">
      <c r="A3" s="427">
        <v>17</v>
      </c>
      <c r="B3" s="345" t="s">
        <v>72</v>
      </c>
      <c r="C3" s="345" t="s">
        <v>77</v>
      </c>
      <c r="D3" s="15" t="s">
        <v>25</v>
      </c>
      <c r="E3" s="8" t="s">
        <v>78</v>
      </c>
      <c r="F3" s="26" t="s">
        <v>79</v>
      </c>
      <c r="G3" s="10"/>
      <c r="H3" s="8"/>
      <c r="I3" s="8"/>
      <c r="J3" s="61"/>
      <c r="K3" s="10"/>
      <c r="L3" s="61">
        <f>0.0408*100</f>
        <v>4.08</v>
      </c>
      <c r="M3" s="8"/>
      <c r="N3" s="5">
        <f t="shared" ref="N3:N9" si="0">H3+J3+L3</f>
        <v>4.08</v>
      </c>
      <c r="O3" s="6">
        <f t="shared" ref="O3:O9" si="1">N3/1.6529</f>
        <v>2.468388892249985</v>
      </c>
      <c r="P3" s="21"/>
      <c r="Q3" s="22"/>
      <c r="R3" s="151"/>
    </row>
    <row r="4" spans="1:18" s="7" customFormat="1" ht="25.2" customHeight="1" x14ac:dyDescent="0.3">
      <c r="A4" s="427"/>
      <c r="B4" s="347"/>
      <c r="C4" s="346"/>
      <c r="D4" s="15" t="s">
        <v>29</v>
      </c>
      <c r="E4" s="8" t="s">
        <v>80</v>
      </c>
      <c r="F4" s="26" t="s">
        <v>79</v>
      </c>
      <c r="G4" s="8"/>
      <c r="H4" s="8"/>
      <c r="I4" s="8"/>
      <c r="J4" s="60"/>
      <c r="K4" s="8"/>
      <c r="L4" s="61">
        <v>4.09</v>
      </c>
      <c r="M4" s="8"/>
      <c r="N4" s="5">
        <f t="shared" si="0"/>
        <v>4.09</v>
      </c>
      <c r="O4" s="6">
        <f t="shared" si="1"/>
        <v>2.4744388650251072</v>
      </c>
      <c r="P4" s="21"/>
      <c r="Q4" s="22"/>
      <c r="R4" s="139"/>
    </row>
    <row r="5" spans="1:18" s="7" customFormat="1" ht="25.2" customHeight="1" x14ac:dyDescent="0.3">
      <c r="A5" s="17">
        <v>19</v>
      </c>
      <c r="B5" s="346"/>
      <c r="C5" s="41" t="s">
        <v>88</v>
      </c>
      <c r="D5" s="15" t="s">
        <v>29</v>
      </c>
      <c r="E5" s="8" t="s">
        <v>89</v>
      </c>
      <c r="F5" s="26" t="s">
        <v>79</v>
      </c>
      <c r="G5" s="8"/>
      <c r="H5" s="8">
        <v>0.8125</v>
      </c>
      <c r="I5" s="8"/>
      <c r="J5" s="60"/>
      <c r="K5" s="8"/>
      <c r="L5" s="61"/>
      <c r="M5" s="8"/>
      <c r="N5" s="5">
        <f t="shared" si="0"/>
        <v>0.8125</v>
      </c>
      <c r="O5" s="6">
        <f t="shared" si="1"/>
        <v>0.4915602879787041</v>
      </c>
      <c r="P5" s="21"/>
      <c r="Q5" s="22"/>
      <c r="R5" s="139"/>
    </row>
    <row r="6" spans="1:18" s="7" customFormat="1" ht="28.8" customHeight="1" x14ac:dyDescent="0.3">
      <c r="A6" s="250">
        <v>21</v>
      </c>
      <c r="B6" s="299" t="s">
        <v>206</v>
      </c>
      <c r="C6" s="231" t="s">
        <v>209</v>
      </c>
      <c r="D6" s="246" t="s">
        <v>32</v>
      </c>
      <c r="E6" s="8" t="s">
        <v>198</v>
      </c>
      <c r="F6" s="26" t="s">
        <v>79</v>
      </c>
      <c r="G6" s="8"/>
      <c r="H6" s="8"/>
      <c r="I6" s="8"/>
      <c r="J6" s="120"/>
      <c r="K6" s="56"/>
      <c r="L6" s="239">
        <v>0.81</v>
      </c>
      <c r="M6" s="8"/>
      <c r="N6" s="5">
        <f>H6+J6+L6</f>
        <v>0.81</v>
      </c>
      <c r="O6" s="6">
        <f t="shared" si="1"/>
        <v>0.4900477947849235</v>
      </c>
      <c r="P6" s="21"/>
      <c r="Q6" s="22"/>
      <c r="R6" s="8"/>
    </row>
    <row r="7" spans="1:18" s="7" customFormat="1" ht="28.8" customHeight="1" x14ac:dyDescent="0.3">
      <c r="A7" s="250">
        <v>23</v>
      </c>
      <c r="B7" s="300"/>
      <c r="C7" s="231" t="s">
        <v>215</v>
      </c>
      <c r="D7" s="245" t="s">
        <v>193</v>
      </c>
      <c r="E7" s="8" t="s">
        <v>199</v>
      </c>
      <c r="F7" s="26" t="s">
        <v>79</v>
      </c>
      <c r="G7" s="8"/>
      <c r="H7" s="8"/>
      <c r="I7" s="8"/>
      <c r="J7" s="120"/>
      <c r="K7" s="56"/>
      <c r="L7" s="239">
        <v>0.75</v>
      </c>
      <c r="M7" s="8"/>
      <c r="N7" s="5">
        <f t="shared" si="0"/>
        <v>0.75</v>
      </c>
      <c r="O7" s="6">
        <f t="shared" si="1"/>
        <v>0.45374795813418839</v>
      </c>
      <c r="P7" s="21"/>
      <c r="Q7" s="22"/>
      <c r="R7" s="8"/>
    </row>
    <row r="8" spans="1:18" s="7" customFormat="1" ht="36.6" customHeight="1" x14ac:dyDescent="0.3">
      <c r="A8" s="250">
        <v>25</v>
      </c>
      <c r="B8" s="300"/>
      <c r="C8" s="231" t="s">
        <v>213</v>
      </c>
      <c r="D8" s="245" t="s">
        <v>195</v>
      </c>
      <c r="E8" s="8" t="s">
        <v>200</v>
      </c>
      <c r="F8" s="26" t="s">
        <v>79</v>
      </c>
      <c r="G8" s="8"/>
      <c r="H8" s="8"/>
      <c r="I8" s="8"/>
      <c r="J8" s="120"/>
      <c r="K8" s="56"/>
      <c r="L8" s="239">
        <v>3.27</v>
      </c>
      <c r="M8" s="8"/>
      <c r="N8" s="5">
        <f>H8+J8+L8</f>
        <v>3.27</v>
      </c>
      <c r="O8" s="6">
        <f t="shared" si="1"/>
        <v>1.9783410974650615</v>
      </c>
      <c r="P8" s="21"/>
      <c r="Q8" s="22"/>
      <c r="R8" s="8"/>
    </row>
    <row r="9" spans="1:18" s="7" customFormat="1" ht="36.6" customHeight="1" x14ac:dyDescent="0.3">
      <c r="A9" s="250">
        <v>26</v>
      </c>
      <c r="B9" s="301"/>
      <c r="C9" s="231" t="s">
        <v>214</v>
      </c>
      <c r="D9" s="245" t="s">
        <v>197</v>
      </c>
      <c r="E9" s="8" t="s">
        <v>201</v>
      </c>
      <c r="F9" s="26" t="s">
        <v>79</v>
      </c>
      <c r="G9" s="8"/>
      <c r="H9" s="8"/>
      <c r="I9" s="8"/>
      <c r="J9" s="120"/>
      <c r="K9" s="56"/>
      <c r="L9" s="239">
        <v>0.75</v>
      </c>
      <c r="M9" s="8"/>
      <c r="N9" s="5">
        <f t="shared" si="0"/>
        <v>0.75</v>
      </c>
      <c r="O9" s="6">
        <f t="shared" si="1"/>
        <v>0.45374795813418839</v>
      </c>
      <c r="P9" s="21"/>
      <c r="Q9" s="22"/>
      <c r="R9" s="8"/>
    </row>
    <row r="10" spans="1:18" s="7" customFormat="1" ht="25.2" customHeight="1" thickBot="1" x14ac:dyDescent="0.35">
      <c r="A10" s="233"/>
      <c r="B10" s="424"/>
      <c r="C10" s="425"/>
      <c r="D10" s="425"/>
      <c r="E10" s="425"/>
      <c r="F10" s="426"/>
      <c r="G10" s="234"/>
      <c r="H10" s="235">
        <f t="shared" ref="H10:R10" si="2">SUM(H3:H9)</f>
        <v>0.8125</v>
      </c>
      <c r="I10" s="235">
        <f t="shared" si="2"/>
        <v>0</v>
      </c>
      <c r="J10" s="235">
        <f t="shared" si="2"/>
        <v>0</v>
      </c>
      <c r="K10" s="235">
        <f t="shared" si="2"/>
        <v>0</v>
      </c>
      <c r="L10" s="235">
        <f t="shared" si="2"/>
        <v>13.75</v>
      </c>
      <c r="M10" s="235">
        <f t="shared" si="2"/>
        <v>0</v>
      </c>
      <c r="N10" s="235">
        <f t="shared" si="2"/>
        <v>14.5625</v>
      </c>
      <c r="O10" s="236">
        <f t="shared" si="2"/>
        <v>8.8102728537721582</v>
      </c>
      <c r="P10" s="235">
        <f t="shared" si="2"/>
        <v>0</v>
      </c>
      <c r="Q10" s="237">
        <f t="shared" si="2"/>
        <v>0</v>
      </c>
      <c r="R10" s="244">
        <f t="shared" si="2"/>
        <v>0</v>
      </c>
    </row>
    <row r="11" spans="1:18" s="12" customFormat="1" ht="16.2" x14ac:dyDescent="0.35">
      <c r="A11" s="11"/>
      <c r="B11" s="42"/>
      <c r="C11" s="43"/>
      <c r="D11" s="44"/>
      <c r="E11" s="11"/>
      <c r="H11" s="11"/>
      <c r="I11" s="11"/>
      <c r="J11" s="63"/>
      <c r="K11" s="11"/>
      <c r="L11" s="11"/>
      <c r="M11" s="11"/>
      <c r="O11" s="47"/>
      <c r="P11" s="45"/>
      <c r="Q11" s="46"/>
      <c r="R11" s="109"/>
    </row>
    <row r="12" spans="1:18" s="12" customFormat="1" ht="16.2" x14ac:dyDescent="0.35">
      <c r="A12" s="11"/>
      <c r="B12" s="42"/>
      <c r="C12" s="43"/>
      <c r="D12" s="44"/>
      <c r="E12" s="11"/>
      <c r="H12" s="11"/>
      <c r="I12" s="11"/>
      <c r="J12" s="63"/>
      <c r="K12" s="11"/>
      <c r="L12" s="11"/>
      <c r="M12" s="11"/>
      <c r="O12" s="47"/>
      <c r="P12" s="45"/>
      <c r="Q12" s="46"/>
      <c r="R12" s="109"/>
    </row>
    <row r="13" spans="1:18" s="12" customFormat="1" ht="16.2" x14ac:dyDescent="0.35">
      <c r="A13" s="11"/>
      <c r="B13" s="42"/>
      <c r="C13" s="43"/>
      <c r="D13" s="44"/>
      <c r="E13" s="11"/>
      <c r="H13" s="11"/>
      <c r="I13" s="11"/>
      <c r="J13" s="63"/>
      <c r="K13" s="11"/>
      <c r="L13" s="11"/>
      <c r="M13" s="11"/>
      <c r="O13" s="47"/>
      <c r="P13" s="45"/>
      <c r="Q13" s="46"/>
      <c r="R13" s="109"/>
    </row>
    <row r="14" spans="1:18" s="12" customFormat="1" ht="16.2" x14ac:dyDescent="0.35">
      <c r="A14" s="11"/>
      <c r="B14" s="42"/>
      <c r="C14" s="43"/>
      <c r="D14" s="44"/>
      <c r="E14" s="11"/>
      <c r="H14" s="11"/>
      <c r="I14" s="11"/>
      <c r="J14" s="63"/>
      <c r="K14" s="11"/>
      <c r="L14" s="11"/>
      <c r="M14" s="11"/>
      <c r="O14" s="47"/>
      <c r="P14" s="45"/>
      <c r="Q14" s="46"/>
      <c r="R14" s="109"/>
    </row>
    <row r="15" spans="1:18" s="12" customFormat="1" ht="16.2" x14ac:dyDescent="0.35">
      <c r="A15" s="11"/>
      <c r="B15" s="42"/>
      <c r="C15" s="43"/>
      <c r="D15" s="44"/>
      <c r="E15" s="11"/>
      <c r="F15" s="18"/>
      <c r="H15" s="11"/>
      <c r="I15" s="11"/>
      <c r="J15" s="63"/>
      <c r="K15" s="11"/>
      <c r="L15" s="11"/>
      <c r="M15" s="11"/>
      <c r="O15" s="47"/>
      <c r="P15" s="45"/>
      <c r="Q15" s="46"/>
      <c r="R15" s="109"/>
    </row>
    <row r="16" spans="1:18" s="12" customFormat="1" ht="16.2" x14ac:dyDescent="0.35">
      <c r="A16" s="11"/>
      <c r="B16" s="42"/>
      <c r="C16" s="43"/>
      <c r="D16" s="44"/>
      <c r="E16" s="11"/>
      <c r="F16" s="18"/>
      <c r="H16" s="11"/>
      <c r="I16" s="11"/>
      <c r="J16" s="63"/>
      <c r="K16" s="11"/>
      <c r="L16" s="11"/>
      <c r="M16" s="11"/>
      <c r="O16" s="47"/>
      <c r="P16" s="45"/>
      <c r="Q16" s="46"/>
      <c r="R16" s="109"/>
    </row>
    <row r="17" spans="1:18" s="12" customFormat="1" ht="16.2" x14ac:dyDescent="0.35">
      <c r="A17" s="11"/>
      <c r="B17" s="42"/>
      <c r="C17" s="43"/>
      <c r="D17" s="44"/>
      <c r="E17" s="11"/>
      <c r="F17" s="18"/>
      <c r="H17" s="11"/>
      <c r="I17" s="11"/>
      <c r="J17" s="63"/>
      <c r="K17" s="11"/>
      <c r="L17" s="11"/>
      <c r="M17" s="11"/>
      <c r="O17" s="47"/>
      <c r="P17" s="45"/>
      <c r="Q17" s="46"/>
      <c r="R17" s="109"/>
    </row>
    <row r="18" spans="1:18" s="12" customFormat="1" ht="16.2" x14ac:dyDescent="0.35">
      <c r="A18" s="11"/>
      <c r="B18" s="42"/>
      <c r="C18" s="43"/>
      <c r="D18" s="44"/>
      <c r="E18" s="11"/>
      <c r="F18" s="18"/>
      <c r="H18" s="11"/>
      <c r="I18" s="11"/>
      <c r="J18" s="63"/>
      <c r="K18" s="11"/>
      <c r="L18" s="11"/>
      <c r="M18" s="11"/>
      <c r="O18" s="47"/>
      <c r="P18" s="45"/>
      <c r="Q18" s="46"/>
      <c r="R18" s="109"/>
    </row>
    <row r="19" spans="1:18" s="12" customFormat="1" ht="16.2" x14ac:dyDescent="0.35">
      <c r="A19" s="11"/>
      <c r="B19" s="42"/>
      <c r="C19" s="43"/>
      <c r="D19" s="44"/>
      <c r="E19" s="11"/>
      <c r="F19" s="18"/>
      <c r="H19" s="11"/>
      <c r="I19" s="11"/>
      <c r="J19" s="63"/>
      <c r="K19" s="11"/>
      <c r="L19" s="11"/>
      <c r="M19" s="11"/>
      <c r="O19" s="47"/>
      <c r="P19" s="45"/>
      <c r="Q19" s="46"/>
      <c r="R19" s="109"/>
    </row>
    <row r="20" spans="1:18" s="12" customFormat="1" ht="16.2" x14ac:dyDescent="0.35">
      <c r="A20" s="11"/>
      <c r="B20" s="42"/>
      <c r="C20" s="43"/>
      <c r="D20" s="44"/>
      <c r="E20" s="11"/>
      <c r="F20" s="18"/>
      <c r="H20" s="11"/>
      <c r="I20" s="11"/>
      <c r="J20" s="63"/>
      <c r="K20" s="11"/>
      <c r="L20" s="11"/>
      <c r="M20" s="11"/>
      <c r="O20" s="47"/>
      <c r="P20" s="45"/>
      <c r="Q20" s="46"/>
      <c r="R20" s="109"/>
    </row>
    <row r="21" spans="1:18" s="12" customFormat="1" ht="16.2" x14ac:dyDescent="0.35">
      <c r="A21" s="11"/>
      <c r="B21" s="42"/>
      <c r="C21" s="43"/>
      <c r="D21" s="44"/>
      <c r="E21" s="11"/>
      <c r="F21" s="18"/>
      <c r="H21" s="11"/>
      <c r="I21" s="11"/>
      <c r="J21" s="63"/>
      <c r="K21" s="11"/>
      <c r="L21" s="11"/>
      <c r="M21" s="11"/>
      <c r="O21" s="47"/>
      <c r="P21" s="45"/>
      <c r="Q21" s="46"/>
      <c r="R21" s="109"/>
    </row>
    <row r="22" spans="1:18" s="12" customFormat="1" ht="16.2" x14ac:dyDescent="0.35">
      <c r="A22" s="11"/>
      <c r="B22" s="42"/>
      <c r="C22" s="43"/>
      <c r="D22" s="44"/>
      <c r="E22" s="11"/>
      <c r="F22" s="18"/>
      <c r="H22" s="11"/>
      <c r="I22" s="11"/>
      <c r="J22" s="63"/>
      <c r="K22" s="11"/>
      <c r="L22" s="11"/>
      <c r="M22" s="11"/>
      <c r="O22" s="47"/>
      <c r="P22" s="45"/>
      <c r="Q22" s="46"/>
      <c r="R22" s="109"/>
    </row>
    <row r="23" spans="1:18" s="12" customFormat="1" ht="16.2" x14ac:dyDescent="0.35">
      <c r="A23" s="11"/>
      <c r="B23" s="42"/>
      <c r="C23" s="43"/>
      <c r="D23" s="44"/>
      <c r="E23" s="11"/>
      <c r="F23" s="18"/>
      <c r="H23" s="11"/>
      <c r="I23" s="11"/>
      <c r="J23" s="63"/>
      <c r="K23" s="11"/>
      <c r="L23" s="11"/>
      <c r="M23" s="11"/>
      <c r="O23" s="47"/>
      <c r="P23" s="45"/>
      <c r="Q23" s="46"/>
      <c r="R23" s="109"/>
    </row>
    <row r="24" spans="1:18" s="12" customFormat="1" ht="16.2" x14ac:dyDescent="0.35">
      <c r="A24" s="11"/>
      <c r="B24" s="42"/>
      <c r="C24" s="43"/>
      <c r="D24" s="44"/>
      <c r="E24" s="11"/>
      <c r="F24" s="18"/>
      <c r="H24" s="11"/>
      <c r="I24" s="11"/>
      <c r="J24" s="63"/>
      <c r="K24" s="11"/>
      <c r="L24" s="11"/>
      <c r="M24" s="11"/>
      <c r="O24" s="47"/>
      <c r="P24" s="45"/>
      <c r="Q24" s="46"/>
      <c r="R24" s="109"/>
    </row>
    <row r="25" spans="1:18" s="12" customFormat="1" ht="16.2" x14ac:dyDescent="0.35">
      <c r="A25" s="11"/>
      <c r="B25" s="42"/>
      <c r="C25" s="43"/>
      <c r="D25" s="44"/>
      <c r="E25" s="11"/>
      <c r="F25" s="18"/>
      <c r="H25" s="11"/>
      <c r="I25" s="11"/>
      <c r="J25" s="63"/>
      <c r="K25" s="11"/>
      <c r="L25" s="11"/>
      <c r="M25" s="11"/>
      <c r="O25" s="47"/>
      <c r="P25" s="45"/>
      <c r="Q25" s="46"/>
      <c r="R25" s="109"/>
    </row>
    <row r="26" spans="1:18" s="12" customFormat="1" ht="16.2" x14ac:dyDescent="0.35">
      <c r="A26" s="11"/>
      <c r="B26" s="42"/>
      <c r="C26" s="43"/>
      <c r="D26" s="44"/>
      <c r="E26" s="11"/>
      <c r="F26" s="18"/>
      <c r="H26" s="11"/>
      <c r="I26" s="11"/>
      <c r="J26" s="63"/>
      <c r="K26" s="11"/>
      <c r="L26" s="11"/>
      <c r="M26" s="11"/>
      <c r="O26" s="47"/>
      <c r="P26" s="45"/>
      <c r="Q26" s="46"/>
      <c r="R26" s="109"/>
    </row>
    <row r="27" spans="1:18" s="12" customFormat="1" ht="16.2" x14ac:dyDescent="0.35">
      <c r="A27" s="11"/>
      <c r="B27" s="42"/>
      <c r="C27" s="43"/>
      <c r="D27" s="44"/>
      <c r="E27" s="11"/>
      <c r="F27" s="18"/>
      <c r="H27" s="11"/>
      <c r="I27" s="11"/>
      <c r="J27" s="63"/>
      <c r="K27" s="11"/>
      <c r="L27" s="11"/>
      <c r="M27" s="11"/>
      <c r="O27" s="47"/>
      <c r="P27" s="45"/>
      <c r="Q27" s="46"/>
      <c r="R27" s="109"/>
    </row>
    <row r="28" spans="1:18" s="12" customFormat="1" ht="16.2" x14ac:dyDescent="0.35">
      <c r="A28" s="11"/>
      <c r="B28" s="42"/>
      <c r="C28" s="43"/>
      <c r="D28" s="44"/>
      <c r="E28" s="11"/>
      <c r="F28" s="18"/>
      <c r="H28" s="11"/>
      <c r="I28" s="11"/>
      <c r="J28" s="63"/>
      <c r="K28" s="11"/>
      <c r="L28" s="11"/>
      <c r="M28" s="11"/>
      <c r="O28" s="47"/>
      <c r="P28" s="45"/>
      <c r="Q28" s="46"/>
      <c r="R28" s="109"/>
    </row>
    <row r="29" spans="1:18" s="12" customFormat="1" ht="16.2" x14ac:dyDescent="0.35">
      <c r="A29" s="11"/>
      <c r="B29" s="42"/>
      <c r="C29" s="43"/>
      <c r="D29" s="44"/>
      <c r="E29" s="11"/>
      <c r="F29" s="18"/>
      <c r="H29" s="11"/>
      <c r="I29" s="11"/>
      <c r="J29" s="63"/>
      <c r="K29" s="11"/>
      <c r="L29" s="11"/>
      <c r="M29" s="11"/>
      <c r="O29" s="47"/>
      <c r="P29" s="45"/>
      <c r="Q29" s="46"/>
      <c r="R29" s="109"/>
    </row>
    <row r="30" spans="1:18" s="12" customFormat="1" ht="16.2" x14ac:dyDescent="0.35">
      <c r="A30" s="11"/>
      <c r="B30" s="42"/>
      <c r="C30" s="43"/>
      <c r="D30" s="44"/>
      <c r="E30" s="11"/>
      <c r="F30" s="18"/>
      <c r="H30" s="11"/>
      <c r="I30" s="11"/>
      <c r="J30" s="63"/>
      <c r="K30" s="11"/>
      <c r="L30" s="11"/>
      <c r="M30" s="11"/>
      <c r="O30" s="47"/>
      <c r="P30" s="45"/>
      <c r="Q30" s="46"/>
      <c r="R30" s="109"/>
    </row>
    <row r="31" spans="1:18" s="12" customFormat="1" ht="16.2" x14ac:dyDescent="0.35">
      <c r="A31" s="11"/>
      <c r="B31" s="42"/>
      <c r="C31" s="43"/>
      <c r="D31" s="44"/>
      <c r="E31" s="11"/>
      <c r="F31" s="18"/>
      <c r="H31" s="11"/>
      <c r="I31" s="11"/>
      <c r="J31" s="63"/>
      <c r="K31" s="11"/>
      <c r="L31" s="11"/>
      <c r="M31" s="11"/>
      <c r="O31" s="47"/>
      <c r="P31" s="45"/>
      <c r="Q31" s="46"/>
      <c r="R31" s="109"/>
    </row>
    <row r="32" spans="1:18" s="12" customFormat="1" ht="16.2" x14ac:dyDescent="0.35">
      <c r="A32" s="11"/>
      <c r="B32" s="42"/>
      <c r="C32" s="43"/>
      <c r="D32" s="44"/>
      <c r="E32" s="11"/>
      <c r="F32" s="18"/>
      <c r="H32" s="11"/>
      <c r="I32" s="11"/>
      <c r="J32" s="63"/>
      <c r="K32" s="11"/>
      <c r="L32" s="11"/>
      <c r="M32" s="11"/>
      <c r="O32" s="47"/>
      <c r="P32" s="45"/>
      <c r="Q32" s="46"/>
      <c r="R32" s="109"/>
    </row>
    <row r="33" spans="1:18" s="12" customFormat="1" ht="16.2" x14ac:dyDescent="0.35">
      <c r="A33" s="11"/>
      <c r="B33" s="42"/>
      <c r="C33" s="43"/>
      <c r="D33" s="44"/>
      <c r="E33" s="11"/>
      <c r="F33" s="18"/>
      <c r="H33" s="11"/>
      <c r="I33" s="11"/>
      <c r="J33" s="63"/>
      <c r="K33" s="11"/>
      <c r="L33" s="11"/>
      <c r="M33" s="11"/>
      <c r="O33" s="47"/>
      <c r="P33" s="45"/>
      <c r="Q33" s="46"/>
      <c r="R33" s="109"/>
    </row>
    <row r="34" spans="1:18" s="12" customFormat="1" ht="16.2" x14ac:dyDescent="0.35">
      <c r="A34" s="11"/>
      <c r="B34" s="42"/>
      <c r="C34" s="43"/>
      <c r="D34" s="44"/>
      <c r="E34" s="11"/>
      <c r="F34" s="18"/>
      <c r="H34" s="11"/>
      <c r="I34" s="11"/>
      <c r="J34" s="63"/>
      <c r="K34" s="11"/>
      <c r="L34" s="11"/>
      <c r="M34" s="11"/>
      <c r="O34" s="47"/>
      <c r="P34" s="45"/>
      <c r="Q34" s="46"/>
      <c r="R34" s="109"/>
    </row>
    <row r="35" spans="1:18" s="12" customFormat="1" ht="16.2" x14ac:dyDescent="0.35">
      <c r="A35" s="11"/>
      <c r="B35" s="42"/>
      <c r="C35" s="43"/>
      <c r="D35" s="44"/>
      <c r="E35" s="11"/>
      <c r="F35" s="18"/>
      <c r="H35" s="11"/>
      <c r="I35" s="11"/>
      <c r="J35" s="63"/>
      <c r="K35" s="11"/>
      <c r="L35" s="11"/>
      <c r="M35" s="11"/>
      <c r="O35" s="47"/>
      <c r="P35" s="45"/>
      <c r="Q35" s="46"/>
      <c r="R35" s="109"/>
    </row>
    <row r="36" spans="1:18" s="12" customFormat="1" ht="16.2" x14ac:dyDescent="0.35">
      <c r="A36" s="11"/>
      <c r="B36" s="42"/>
      <c r="C36" s="43"/>
      <c r="D36" s="44"/>
      <c r="E36" s="11"/>
      <c r="F36" s="18"/>
      <c r="H36" s="11"/>
      <c r="I36" s="11"/>
      <c r="J36" s="63"/>
      <c r="K36" s="11"/>
      <c r="L36" s="11"/>
      <c r="M36" s="11"/>
      <c r="O36" s="47"/>
      <c r="P36" s="45"/>
      <c r="Q36" s="46"/>
      <c r="R36" s="109"/>
    </row>
    <row r="37" spans="1:18" s="12" customFormat="1" ht="16.2" x14ac:dyDescent="0.35">
      <c r="A37" s="11"/>
      <c r="B37" s="42"/>
      <c r="C37" s="43"/>
      <c r="D37" s="44"/>
      <c r="E37" s="11"/>
      <c r="F37" s="18"/>
      <c r="H37" s="11"/>
      <c r="I37" s="11"/>
      <c r="J37" s="63"/>
      <c r="K37" s="11"/>
      <c r="L37" s="11"/>
      <c r="M37" s="11"/>
      <c r="O37" s="47"/>
      <c r="P37" s="45"/>
      <c r="Q37" s="46"/>
      <c r="R37" s="109"/>
    </row>
    <row r="38" spans="1:18" s="12" customFormat="1" ht="16.2" x14ac:dyDescent="0.35">
      <c r="A38" s="11"/>
      <c r="B38" s="42"/>
      <c r="C38" s="43"/>
      <c r="D38" s="44"/>
      <c r="E38" s="11"/>
      <c r="F38" s="18"/>
      <c r="H38" s="11"/>
      <c r="I38" s="11"/>
      <c r="J38" s="63"/>
      <c r="K38" s="11"/>
      <c r="L38" s="11"/>
      <c r="M38" s="11"/>
      <c r="O38" s="47"/>
      <c r="P38" s="45"/>
      <c r="Q38" s="46"/>
      <c r="R38" s="109"/>
    </row>
    <row r="39" spans="1:18" s="12" customFormat="1" ht="16.2" x14ac:dyDescent="0.35">
      <c r="A39" s="11"/>
      <c r="B39" s="42"/>
      <c r="C39" s="43"/>
      <c r="D39" s="44"/>
      <c r="E39" s="11"/>
      <c r="F39" s="18"/>
      <c r="H39" s="11"/>
      <c r="I39" s="11"/>
      <c r="J39" s="63"/>
      <c r="K39" s="11"/>
      <c r="L39" s="11"/>
      <c r="M39" s="11"/>
      <c r="O39" s="47"/>
      <c r="P39" s="45"/>
      <c r="Q39" s="46"/>
      <c r="R39" s="109"/>
    </row>
    <row r="40" spans="1:18" s="12" customFormat="1" ht="16.2" x14ac:dyDescent="0.35">
      <c r="A40" s="11"/>
      <c r="B40" s="42"/>
      <c r="C40" s="43"/>
      <c r="D40" s="44"/>
      <c r="E40" s="11"/>
      <c r="F40" s="18"/>
      <c r="H40" s="11"/>
      <c r="I40" s="11"/>
      <c r="J40" s="63"/>
      <c r="K40" s="11"/>
      <c r="L40" s="11"/>
      <c r="M40" s="11"/>
      <c r="O40" s="47"/>
      <c r="P40" s="45"/>
      <c r="Q40" s="46"/>
      <c r="R40" s="109"/>
    </row>
    <row r="41" spans="1:18" s="12" customFormat="1" ht="16.2" x14ac:dyDescent="0.35">
      <c r="A41" s="11"/>
      <c r="B41" s="42"/>
      <c r="C41" s="43"/>
      <c r="D41" s="44"/>
      <c r="E41" s="11"/>
      <c r="F41" s="18"/>
      <c r="H41" s="11"/>
      <c r="I41" s="11"/>
      <c r="J41" s="63"/>
      <c r="K41" s="11"/>
      <c r="L41" s="11"/>
      <c r="M41" s="11"/>
      <c r="O41" s="47"/>
      <c r="P41" s="45"/>
      <c r="Q41" s="46"/>
      <c r="R41" s="109"/>
    </row>
    <row r="42" spans="1:18" s="12" customFormat="1" ht="16.2" x14ac:dyDescent="0.35">
      <c r="A42" s="11"/>
      <c r="B42" s="42"/>
      <c r="C42" s="43"/>
      <c r="D42" s="44"/>
      <c r="E42" s="11"/>
      <c r="F42" s="18"/>
      <c r="H42" s="11"/>
      <c r="I42" s="11"/>
      <c r="J42" s="63"/>
      <c r="K42" s="11"/>
      <c r="L42" s="11"/>
      <c r="M42" s="11"/>
      <c r="O42" s="47"/>
      <c r="P42" s="45"/>
      <c r="Q42" s="46"/>
      <c r="R42" s="109"/>
    </row>
    <row r="43" spans="1:18" s="12" customFormat="1" ht="16.2" x14ac:dyDescent="0.35">
      <c r="A43" s="11"/>
      <c r="B43" s="42"/>
      <c r="C43" s="43"/>
      <c r="D43" s="44"/>
      <c r="E43" s="11"/>
      <c r="F43" s="18"/>
      <c r="H43" s="11"/>
      <c r="I43" s="11"/>
      <c r="J43" s="63"/>
      <c r="K43" s="11"/>
      <c r="L43" s="11"/>
      <c r="M43" s="11"/>
      <c r="O43" s="47"/>
      <c r="P43" s="45"/>
      <c r="Q43" s="46"/>
      <c r="R43" s="109"/>
    </row>
    <row r="44" spans="1:18" s="12" customFormat="1" ht="16.2" x14ac:dyDescent="0.35">
      <c r="A44" s="11"/>
      <c r="B44" s="42"/>
      <c r="C44" s="43"/>
      <c r="D44" s="44"/>
      <c r="E44" s="11"/>
      <c r="F44" s="18"/>
      <c r="H44" s="11"/>
      <c r="I44" s="11"/>
      <c r="J44" s="63"/>
      <c r="K44" s="11"/>
      <c r="L44" s="11"/>
      <c r="M44" s="11"/>
      <c r="O44" s="47"/>
      <c r="P44" s="45"/>
      <c r="Q44" s="46"/>
      <c r="R44" s="109"/>
    </row>
    <row r="45" spans="1:18" s="12" customFormat="1" ht="16.2" x14ac:dyDescent="0.35">
      <c r="A45" s="11"/>
      <c r="B45" s="42"/>
      <c r="C45" s="43"/>
      <c r="D45" s="44"/>
      <c r="E45" s="11"/>
      <c r="F45" s="18"/>
      <c r="H45" s="11"/>
      <c r="I45" s="11"/>
      <c r="J45" s="63"/>
      <c r="K45" s="11"/>
      <c r="L45" s="11"/>
      <c r="M45" s="11"/>
      <c r="O45" s="47"/>
      <c r="P45" s="45"/>
      <c r="Q45" s="46"/>
      <c r="R45" s="109"/>
    </row>
    <row r="46" spans="1:18" s="12" customFormat="1" ht="16.2" x14ac:dyDescent="0.35">
      <c r="A46" s="11"/>
      <c r="B46" s="42"/>
      <c r="C46" s="43"/>
      <c r="D46" s="44"/>
      <c r="E46" s="11"/>
      <c r="F46" s="18"/>
      <c r="H46" s="11"/>
      <c r="I46" s="11"/>
      <c r="J46" s="63"/>
      <c r="K46" s="11"/>
      <c r="L46" s="11"/>
      <c r="M46" s="11"/>
      <c r="O46" s="47"/>
      <c r="P46" s="45"/>
      <c r="Q46" s="46"/>
      <c r="R46" s="109"/>
    </row>
    <row r="47" spans="1:18" s="12" customFormat="1" ht="16.2" x14ac:dyDescent="0.35">
      <c r="A47" s="11"/>
      <c r="B47" s="42"/>
      <c r="C47" s="43"/>
      <c r="D47" s="44"/>
      <c r="E47" s="11"/>
      <c r="F47" s="18"/>
      <c r="H47" s="11"/>
      <c r="I47" s="11"/>
      <c r="J47" s="63"/>
      <c r="K47" s="11"/>
      <c r="L47" s="11"/>
      <c r="M47" s="11"/>
      <c r="O47" s="47"/>
      <c r="P47" s="45"/>
      <c r="Q47" s="46"/>
      <c r="R47" s="109"/>
    </row>
    <row r="48" spans="1:18" s="12" customFormat="1" ht="16.2" x14ac:dyDescent="0.35">
      <c r="A48" s="11"/>
      <c r="B48" s="42"/>
      <c r="C48" s="43"/>
      <c r="D48" s="44"/>
      <c r="E48" s="11"/>
      <c r="F48" s="18"/>
      <c r="H48" s="11"/>
      <c r="I48" s="11"/>
      <c r="J48" s="63"/>
      <c r="K48" s="11"/>
      <c r="L48" s="11"/>
      <c r="M48" s="11"/>
      <c r="O48" s="47"/>
      <c r="P48" s="45"/>
      <c r="Q48" s="46"/>
      <c r="R48" s="109"/>
    </row>
    <row r="49" spans="1:18" s="12" customFormat="1" ht="16.2" x14ac:dyDescent="0.35">
      <c r="A49" s="11"/>
      <c r="B49" s="42"/>
      <c r="C49" s="43"/>
      <c r="D49" s="44"/>
      <c r="E49" s="11"/>
      <c r="F49" s="18"/>
      <c r="H49" s="11"/>
      <c r="I49" s="11"/>
      <c r="J49" s="63"/>
      <c r="K49" s="11"/>
      <c r="L49" s="11"/>
      <c r="M49" s="11"/>
      <c r="O49" s="47"/>
      <c r="P49" s="45"/>
      <c r="Q49" s="46"/>
      <c r="R49" s="109"/>
    </row>
    <row r="50" spans="1:18" s="12" customFormat="1" ht="16.2" x14ac:dyDescent="0.35">
      <c r="A50" s="11"/>
      <c r="B50" s="42"/>
      <c r="C50" s="43"/>
      <c r="D50" s="44"/>
      <c r="E50" s="11"/>
      <c r="F50" s="18"/>
      <c r="H50" s="11"/>
      <c r="I50" s="11"/>
      <c r="J50" s="63"/>
      <c r="K50" s="11"/>
      <c r="L50" s="11"/>
      <c r="M50" s="11"/>
      <c r="O50" s="47"/>
      <c r="P50" s="45"/>
      <c r="Q50" s="46"/>
      <c r="R50" s="109"/>
    </row>
    <row r="51" spans="1:18" s="12" customFormat="1" ht="16.2" x14ac:dyDescent="0.35">
      <c r="A51" s="11"/>
      <c r="B51" s="42"/>
      <c r="C51" s="43"/>
      <c r="D51" s="44"/>
      <c r="E51" s="11"/>
      <c r="F51" s="18"/>
      <c r="H51" s="11"/>
      <c r="I51" s="11"/>
      <c r="J51" s="63"/>
      <c r="K51" s="11"/>
      <c r="L51" s="11"/>
      <c r="M51" s="11"/>
      <c r="O51" s="47"/>
      <c r="P51" s="45"/>
      <c r="Q51" s="46"/>
      <c r="R51" s="109"/>
    </row>
    <row r="52" spans="1:18" s="12" customFormat="1" ht="16.2" x14ac:dyDescent="0.35">
      <c r="A52" s="11"/>
      <c r="B52" s="42"/>
      <c r="C52" s="43"/>
      <c r="D52" s="44"/>
      <c r="E52" s="11"/>
      <c r="F52" s="18"/>
      <c r="H52" s="11"/>
      <c r="I52" s="11"/>
      <c r="J52" s="63"/>
      <c r="K52" s="11"/>
      <c r="L52" s="11"/>
      <c r="M52" s="11"/>
      <c r="O52" s="47"/>
      <c r="P52" s="45"/>
      <c r="Q52" s="46"/>
      <c r="R52" s="109"/>
    </row>
    <row r="53" spans="1:18" s="12" customFormat="1" ht="16.2" x14ac:dyDescent="0.35">
      <c r="A53" s="11"/>
      <c r="B53" s="42"/>
      <c r="C53" s="43"/>
      <c r="D53" s="44"/>
      <c r="E53" s="11"/>
      <c r="F53" s="18"/>
      <c r="H53" s="11"/>
      <c r="I53" s="11"/>
      <c r="J53" s="63"/>
      <c r="K53" s="11"/>
      <c r="L53" s="11"/>
      <c r="M53" s="11"/>
      <c r="O53" s="47"/>
      <c r="P53" s="45"/>
      <c r="Q53" s="46"/>
      <c r="R53" s="109"/>
    </row>
    <row r="54" spans="1:18" s="12" customFormat="1" ht="16.2" x14ac:dyDescent="0.35">
      <c r="A54" s="11"/>
      <c r="B54" s="42"/>
      <c r="C54" s="43"/>
      <c r="D54" s="44"/>
      <c r="E54" s="11"/>
      <c r="F54" s="18"/>
      <c r="H54" s="11"/>
      <c r="I54" s="11"/>
      <c r="J54" s="63"/>
      <c r="K54" s="11"/>
      <c r="L54" s="11"/>
      <c r="M54" s="11"/>
      <c r="O54" s="47"/>
      <c r="P54" s="45"/>
      <c r="Q54" s="46"/>
      <c r="R54" s="109"/>
    </row>
    <row r="55" spans="1:18" s="12" customFormat="1" ht="16.2" x14ac:dyDescent="0.35">
      <c r="A55" s="11"/>
      <c r="B55" s="42"/>
      <c r="C55" s="43"/>
      <c r="D55" s="44"/>
      <c r="E55" s="11"/>
      <c r="F55" s="18"/>
      <c r="H55" s="11"/>
      <c r="I55" s="11"/>
      <c r="J55" s="63"/>
      <c r="K55" s="11"/>
      <c r="L55" s="11"/>
      <c r="M55" s="11"/>
      <c r="O55" s="47"/>
      <c r="P55" s="45"/>
      <c r="Q55" s="46"/>
      <c r="R55" s="109"/>
    </row>
    <row r="56" spans="1:18" s="12" customFormat="1" ht="16.2" x14ac:dyDescent="0.35">
      <c r="A56" s="11"/>
      <c r="B56" s="42"/>
      <c r="C56" s="43"/>
      <c r="D56" s="44"/>
      <c r="E56" s="11"/>
      <c r="F56" s="18"/>
      <c r="H56" s="11"/>
      <c r="I56" s="11"/>
      <c r="J56" s="63"/>
      <c r="K56" s="11"/>
      <c r="L56" s="11"/>
      <c r="M56" s="11"/>
      <c r="O56" s="47"/>
      <c r="P56" s="45"/>
      <c r="Q56" s="46"/>
      <c r="R56" s="109"/>
    </row>
    <row r="57" spans="1:18" s="12" customFormat="1" ht="16.2" x14ac:dyDescent="0.35">
      <c r="A57" s="11"/>
      <c r="B57" s="42"/>
      <c r="C57" s="43"/>
      <c r="D57" s="44"/>
      <c r="E57" s="11"/>
      <c r="F57" s="18"/>
      <c r="H57" s="11"/>
      <c r="I57" s="11"/>
      <c r="J57" s="63"/>
      <c r="K57" s="11"/>
      <c r="L57" s="11"/>
      <c r="M57" s="11"/>
      <c r="O57" s="47"/>
      <c r="P57" s="45"/>
      <c r="Q57" s="46"/>
      <c r="R57" s="109"/>
    </row>
    <row r="58" spans="1:18" s="12" customFormat="1" ht="16.2" x14ac:dyDescent="0.35">
      <c r="A58" s="11"/>
      <c r="B58" s="42"/>
      <c r="C58" s="43"/>
      <c r="D58" s="44"/>
      <c r="E58" s="11"/>
      <c r="F58" s="18"/>
      <c r="H58" s="11"/>
      <c r="I58" s="11"/>
      <c r="J58" s="63"/>
      <c r="K58" s="11"/>
      <c r="L58" s="11"/>
      <c r="M58" s="11"/>
      <c r="O58" s="47"/>
      <c r="P58" s="45"/>
      <c r="Q58" s="46"/>
      <c r="R58" s="109"/>
    </row>
    <row r="59" spans="1:18" s="12" customFormat="1" ht="16.2" x14ac:dyDescent="0.35">
      <c r="A59" s="11"/>
      <c r="B59" s="42"/>
      <c r="C59" s="43"/>
      <c r="D59" s="44"/>
      <c r="E59" s="11"/>
      <c r="F59" s="18"/>
      <c r="H59" s="11"/>
      <c r="I59" s="11"/>
      <c r="J59" s="63"/>
      <c r="K59" s="11"/>
      <c r="L59" s="11"/>
      <c r="M59" s="11"/>
      <c r="O59" s="47"/>
      <c r="P59" s="45"/>
      <c r="Q59" s="46"/>
      <c r="R59" s="109"/>
    </row>
    <row r="60" spans="1:18" s="12" customFormat="1" ht="16.2" x14ac:dyDescent="0.35">
      <c r="A60" s="11"/>
      <c r="B60" s="42"/>
      <c r="C60" s="43"/>
      <c r="D60" s="44"/>
      <c r="E60" s="11"/>
      <c r="F60" s="18"/>
      <c r="H60" s="11"/>
      <c r="I60" s="11"/>
      <c r="J60" s="63"/>
      <c r="K60" s="11"/>
      <c r="L60" s="11"/>
      <c r="M60" s="11"/>
      <c r="O60" s="47"/>
      <c r="P60" s="45"/>
      <c r="Q60" s="46"/>
      <c r="R60" s="109"/>
    </row>
    <row r="61" spans="1:18" s="12" customFormat="1" ht="16.2" x14ac:dyDescent="0.35">
      <c r="A61" s="11"/>
      <c r="B61" s="42"/>
      <c r="C61" s="43"/>
      <c r="D61" s="44"/>
      <c r="E61" s="11"/>
      <c r="F61" s="18"/>
      <c r="H61" s="11"/>
      <c r="I61" s="11"/>
      <c r="J61" s="63"/>
      <c r="K61" s="11"/>
      <c r="L61" s="11"/>
      <c r="M61" s="11"/>
      <c r="O61" s="47"/>
      <c r="P61" s="45"/>
      <c r="Q61" s="46"/>
      <c r="R61" s="109"/>
    </row>
    <row r="62" spans="1:18" s="12" customFormat="1" ht="16.2" x14ac:dyDescent="0.35">
      <c r="A62" s="11"/>
      <c r="B62" s="42"/>
      <c r="C62" s="43"/>
      <c r="D62" s="44"/>
      <c r="E62" s="11"/>
      <c r="F62" s="18"/>
      <c r="H62" s="11"/>
      <c r="I62" s="11"/>
      <c r="J62" s="63"/>
      <c r="K62" s="11"/>
      <c r="L62" s="11"/>
      <c r="M62" s="11"/>
      <c r="O62" s="47"/>
      <c r="P62" s="45"/>
      <c r="Q62" s="46"/>
      <c r="R62" s="109"/>
    </row>
    <row r="63" spans="1:18" s="12" customFormat="1" ht="16.2" x14ac:dyDescent="0.35">
      <c r="A63" s="11"/>
      <c r="B63" s="42"/>
      <c r="C63" s="43"/>
      <c r="D63" s="44"/>
      <c r="E63" s="11"/>
      <c r="F63" s="18"/>
      <c r="H63" s="11"/>
      <c r="I63" s="11"/>
      <c r="J63" s="63"/>
      <c r="K63" s="11"/>
      <c r="L63" s="11"/>
      <c r="M63" s="11"/>
      <c r="O63" s="47"/>
      <c r="P63" s="45"/>
      <c r="Q63" s="46"/>
      <c r="R63" s="109"/>
    </row>
    <row r="64" spans="1:18" s="12" customFormat="1" ht="16.2" x14ac:dyDescent="0.35">
      <c r="A64" s="11"/>
      <c r="B64" s="42"/>
      <c r="C64" s="43"/>
      <c r="D64" s="44"/>
      <c r="E64" s="11"/>
      <c r="F64" s="18"/>
      <c r="H64" s="11"/>
      <c r="I64" s="11"/>
      <c r="J64" s="63"/>
      <c r="K64" s="11"/>
      <c r="L64" s="11"/>
      <c r="M64" s="11"/>
      <c r="O64" s="47"/>
      <c r="P64" s="45"/>
      <c r="Q64" s="46"/>
      <c r="R64" s="109"/>
    </row>
    <row r="65" spans="1:18" s="12" customFormat="1" ht="16.2" x14ac:dyDescent="0.35">
      <c r="A65" s="11"/>
      <c r="B65" s="42"/>
      <c r="C65" s="43"/>
      <c r="D65" s="44"/>
      <c r="E65" s="11"/>
      <c r="F65" s="18"/>
      <c r="H65" s="11"/>
      <c r="I65" s="11"/>
      <c r="J65" s="63"/>
      <c r="K65" s="11"/>
      <c r="L65" s="11"/>
      <c r="M65" s="11"/>
      <c r="O65" s="47"/>
      <c r="P65" s="45"/>
      <c r="Q65" s="46"/>
      <c r="R65" s="109"/>
    </row>
    <row r="66" spans="1:18" s="12" customFormat="1" ht="16.2" x14ac:dyDescent="0.35">
      <c r="A66" s="11"/>
      <c r="B66" s="42"/>
      <c r="C66" s="43"/>
      <c r="D66" s="44"/>
      <c r="E66" s="11"/>
      <c r="F66" s="18"/>
      <c r="H66" s="11"/>
      <c r="I66" s="11"/>
      <c r="J66" s="63"/>
      <c r="K66" s="11"/>
      <c r="L66" s="11"/>
      <c r="M66" s="11"/>
      <c r="O66" s="47"/>
      <c r="P66" s="45"/>
      <c r="Q66" s="46"/>
      <c r="R66" s="109"/>
    </row>
    <row r="67" spans="1:18" s="12" customFormat="1" ht="16.2" x14ac:dyDescent="0.35">
      <c r="A67" s="11"/>
      <c r="B67" s="42"/>
      <c r="C67" s="43"/>
      <c r="D67" s="44"/>
      <c r="E67" s="11"/>
      <c r="F67" s="18"/>
      <c r="H67" s="11"/>
      <c r="I67" s="11"/>
      <c r="J67" s="63"/>
      <c r="K67" s="11"/>
      <c r="L67" s="11"/>
      <c r="M67" s="11"/>
      <c r="O67" s="47"/>
      <c r="P67" s="45"/>
      <c r="Q67" s="46"/>
      <c r="R67" s="109"/>
    </row>
    <row r="68" spans="1:18" s="12" customFormat="1" ht="16.2" x14ac:dyDescent="0.35">
      <c r="A68" s="11"/>
      <c r="B68" s="42"/>
      <c r="C68" s="43"/>
      <c r="D68" s="44"/>
      <c r="E68" s="11"/>
      <c r="F68" s="18"/>
      <c r="H68" s="11"/>
      <c r="I68" s="11"/>
      <c r="J68" s="63"/>
      <c r="K68" s="11"/>
      <c r="L68" s="11"/>
      <c r="M68" s="11"/>
      <c r="O68" s="47"/>
      <c r="P68" s="45"/>
      <c r="Q68" s="46"/>
      <c r="R68" s="109"/>
    </row>
    <row r="69" spans="1:18" s="12" customFormat="1" ht="16.2" x14ac:dyDescent="0.35">
      <c r="A69" s="11"/>
      <c r="B69" s="42"/>
      <c r="C69" s="43"/>
      <c r="D69" s="44"/>
      <c r="E69" s="11"/>
      <c r="F69" s="18"/>
      <c r="H69" s="11"/>
      <c r="I69" s="11"/>
      <c r="J69" s="63"/>
      <c r="K69" s="11"/>
      <c r="L69" s="11"/>
      <c r="M69" s="11"/>
      <c r="O69" s="47"/>
      <c r="P69" s="45"/>
      <c r="Q69" s="46"/>
      <c r="R69" s="109"/>
    </row>
    <row r="70" spans="1:18" s="12" customFormat="1" ht="16.2" x14ac:dyDescent="0.35">
      <c r="A70" s="11"/>
      <c r="B70" s="42"/>
      <c r="C70" s="43"/>
      <c r="D70" s="44"/>
      <c r="E70" s="11"/>
      <c r="F70" s="18"/>
      <c r="H70" s="11"/>
      <c r="I70" s="11"/>
      <c r="J70" s="63"/>
      <c r="K70" s="11"/>
      <c r="L70" s="11"/>
      <c r="M70" s="11"/>
      <c r="O70" s="47"/>
      <c r="P70" s="45"/>
      <c r="Q70" s="46"/>
      <c r="R70" s="109"/>
    </row>
    <row r="71" spans="1:18" s="12" customFormat="1" ht="16.2" x14ac:dyDescent="0.35">
      <c r="A71" s="11"/>
      <c r="B71" s="42"/>
      <c r="C71" s="43"/>
      <c r="D71" s="44"/>
      <c r="E71" s="11"/>
      <c r="F71" s="18"/>
      <c r="H71" s="11"/>
      <c r="I71" s="11"/>
      <c r="J71" s="63"/>
      <c r="K71" s="11"/>
      <c r="L71" s="11"/>
      <c r="M71" s="11"/>
      <c r="O71" s="47"/>
      <c r="P71" s="45"/>
      <c r="Q71" s="46"/>
      <c r="R71" s="109"/>
    </row>
    <row r="72" spans="1:18" s="12" customFormat="1" ht="16.2" x14ac:dyDescent="0.35">
      <c r="A72" s="11"/>
      <c r="B72" s="42"/>
      <c r="C72" s="43"/>
      <c r="D72" s="44"/>
      <c r="E72" s="11"/>
      <c r="F72" s="18"/>
      <c r="H72" s="11"/>
      <c r="I72" s="11"/>
      <c r="J72" s="63"/>
      <c r="K72" s="11"/>
      <c r="L72" s="11"/>
      <c r="M72" s="11"/>
      <c r="O72" s="47"/>
      <c r="P72" s="45"/>
      <c r="Q72" s="46"/>
      <c r="R72" s="109"/>
    </row>
    <row r="73" spans="1:18" s="12" customFormat="1" ht="16.2" x14ac:dyDescent="0.35">
      <c r="A73" s="11"/>
      <c r="B73" s="42"/>
      <c r="C73" s="43"/>
      <c r="D73" s="44"/>
      <c r="E73" s="11"/>
      <c r="F73" s="18"/>
      <c r="H73" s="11"/>
      <c r="I73" s="11"/>
      <c r="J73" s="63"/>
      <c r="K73" s="11"/>
      <c r="L73" s="11"/>
      <c r="M73" s="11"/>
      <c r="O73" s="47"/>
      <c r="P73" s="45"/>
      <c r="Q73" s="46"/>
      <c r="R73" s="109"/>
    </row>
    <row r="74" spans="1:18" s="12" customFormat="1" ht="16.2" x14ac:dyDescent="0.35">
      <c r="A74" s="11"/>
      <c r="B74" s="42"/>
      <c r="C74" s="43"/>
      <c r="D74" s="44"/>
      <c r="E74" s="11"/>
      <c r="F74" s="18"/>
      <c r="H74" s="11"/>
      <c r="I74" s="11"/>
      <c r="J74" s="63"/>
      <c r="K74" s="11"/>
      <c r="L74" s="11"/>
      <c r="M74" s="11"/>
      <c r="O74" s="47"/>
      <c r="P74" s="45"/>
      <c r="Q74" s="46"/>
      <c r="R74" s="109"/>
    </row>
    <row r="75" spans="1:18" s="12" customFormat="1" ht="16.2" x14ac:dyDescent="0.35">
      <c r="A75" s="11"/>
      <c r="B75" s="42"/>
      <c r="C75" s="43"/>
      <c r="D75" s="44"/>
      <c r="E75" s="11"/>
      <c r="F75" s="18"/>
      <c r="H75" s="11"/>
      <c r="I75" s="11"/>
      <c r="J75" s="63"/>
      <c r="K75" s="11"/>
      <c r="L75" s="11"/>
      <c r="M75" s="11"/>
      <c r="O75" s="47"/>
      <c r="P75" s="45"/>
      <c r="Q75" s="46"/>
      <c r="R75" s="109"/>
    </row>
    <row r="76" spans="1:18" s="12" customFormat="1" ht="16.2" x14ac:dyDescent="0.35">
      <c r="A76" s="11"/>
      <c r="B76" s="42"/>
      <c r="C76" s="43"/>
      <c r="D76" s="44"/>
      <c r="E76" s="11"/>
      <c r="F76" s="18"/>
      <c r="H76" s="11"/>
      <c r="I76" s="11"/>
      <c r="J76" s="63"/>
      <c r="K76" s="11"/>
      <c r="L76" s="11"/>
      <c r="M76" s="11"/>
      <c r="O76" s="47"/>
      <c r="P76" s="45"/>
      <c r="Q76" s="46"/>
      <c r="R76" s="109"/>
    </row>
    <row r="77" spans="1:18" s="12" customFormat="1" ht="16.2" x14ac:dyDescent="0.35">
      <c r="A77" s="11"/>
      <c r="B77" s="42"/>
      <c r="C77" s="43"/>
      <c r="D77" s="44"/>
      <c r="E77" s="11"/>
      <c r="F77" s="18"/>
      <c r="H77" s="11"/>
      <c r="I77" s="11"/>
      <c r="J77" s="63"/>
      <c r="K77" s="11"/>
      <c r="L77" s="11"/>
      <c r="M77" s="11"/>
      <c r="O77" s="47"/>
      <c r="P77" s="45"/>
      <c r="Q77" s="46"/>
      <c r="R77" s="109"/>
    </row>
    <row r="78" spans="1:18" s="12" customFormat="1" ht="16.2" x14ac:dyDescent="0.35">
      <c r="A78" s="11"/>
      <c r="B78" s="42"/>
      <c r="C78" s="43"/>
      <c r="D78" s="44"/>
      <c r="E78" s="11"/>
      <c r="F78" s="18"/>
      <c r="H78" s="11"/>
      <c r="I78" s="11"/>
      <c r="J78" s="63"/>
      <c r="K78" s="11"/>
      <c r="L78" s="11"/>
      <c r="M78" s="11"/>
      <c r="O78" s="47"/>
      <c r="P78" s="45"/>
      <c r="Q78" s="46"/>
      <c r="R78" s="109"/>
    </row>
    <row r="79" spans="1:18" s="12" customFormat="1" ht="16.2" x14ac:dyDescent="0.35">
      <c r="A79" s="11"/>
      <c r="B79" s="42"/>
      <c r="C79" s="43"/>
      <c r="D79" s="44"/>
      <c r="E79" s="11"/>
      <c r="F79" s="18"/>
      <c r="H79" s="11"/>
      <c r="I79" s="11"/>
      <c r="J79" s="63"/>
      <c r="K79" s="11"/>
      <c r="L79" s="11"/>
      <c r="M79" s="11"/>
      <c r="O79" s="47"/>
      <c r="P79" s="45"/>
      <c r="Q79" s="46"/>
      <c r="R79" s="109"/>
    </row>
  </sheetData>
  <autoFilter ref="B2:R10" xr:uid="{238D2FA6-7978-4175-B5FA-99A4E8F5D8E0}"/>
  <mergeCells count="5">
    <mergeCell ref="B10:F10"/>
    <mergeCell ref="B3:B5"/>
    <mergeCell ref="B6:B9"/>
    <mergeCell ref="A3:A4"/>
    <mergeCell ref="C3:C4"/>
  </mergeCells>
  <printOptions horizontalCentered="1"/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Master Shedul Final</vt:lpstr>
      <vt:lpstr>Summaray</vt:lpstr>
      <vt:lpstr>3173</vt:lpstr>
      <vt:lpstr>Only Think</vt:lpstr>
      <vt:lpstr>'Master Shedul Final'!Print_Area</vt:lpstr>
      <vt:lpstr>'Only Think'!Print_Area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Mallick</dc:creator>
  <cp:lastModifiedBy>saiful</cp:lastModifiedBy>
  <cp:lastPrinted>2026-05-11T11:55:38Z</cp:lastPrinted>
  <dcterms:created xsi:type="dcterms:W3CDTF">2015-06-05T18:17:20Z</dcterms:created>
  <dcterms:modified xsi:type="dcterms:W3CDTF">2026-05-21T05:22:47Z</dcterms:modified>
</cp:coreProperties>
</file>