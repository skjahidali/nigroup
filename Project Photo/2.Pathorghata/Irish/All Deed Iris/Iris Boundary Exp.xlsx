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NI Group\4.Pathorghata\Irish\"/>
    </mc:Choice>
  </mc:AlternateContent>
  <xr:revisionPtr revIDLastSave="0" documentId="13_ncr:1_{82B7463C-3FB2-43C5-97AA-C4C2079C9408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Exp" sheetId="1" r:id="rId1"/>
    <sheet name="Boundary Labour" sheetId="2" r:id="rId2"/>
  </sheets>
  <definedNames>
    <definedName name="_xlnm.Print_Area" localSheetId="1">'Boundary Labour'!$B$2:$E$13</definedName>
    <definedName name="_xlnm.Print_Area" localSheetId="0">Exp!$D$2:$F$56</definedName>
    <definedName name="_xlnm.Print_Titles" localSheetId="0">Exp!$19:$19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5" i="1" l="1"/>
  <c r="B9" i="2"/>
  <c r="B10" i="2" s="1"/>
  <c r="B11" i="2" s="1"/>
  <c r="D13" i="2"/>
  <c r="B7" i="2"/>
  <c r="B8" i="2" s="1"/>
  <c r="E56" i="1"/>
  <c r="E58" i="1" s="1"/>
  <c r="F17" i="1"/>
  <c r="F56" i="1" l="1"/>
  <c r="F58" i="1" s="1"/>
</calcChain>
</file>

<file path=xl/sharedStrings.xml><?xml version="1.0" encoding="utf-8"?>
<sst xmlns="http://schemas.openxmlformats.org/spreadsheetml/2006/main" count="83" uniqueCount="47">
  <si>
    <t>RECEIVED</t>
  </si>
  <si>
    <t>PERSON NAME</t>
  </si>
  <si>
    <t>DATE</t>
  </si>
  <si>
    <t>AMOUNT</t>
  </si>
  <si>
    <t>TOTAL =</t>
  </si>
  <si>
    <t>EXPENSES</t>
  </si>
  <si>
    <t>BALANCE AS ON =</t>
  </si>
  <si>
    <t>Ataur Mama</t>
  </si>
  <si>
    <t>27.06.25</t>
  </si>
  <si>
    <t>28.06.25</t>
  </si>
  <si>
    <t>Dori</t>
  </si>
  <si>
    <t>29.02.25</t>
  </si>
  <si>
    <t>Raju da Van Gari</t>
  </si>
  <si>
    <t>150 pic brick+Van</t>
  </si>
  <si>
    <t>5 pic cement+van</t>
  </si>
  <si>
    <t xml:space="preserve">Dhali </t>
  </si>
  <si>
    <t>30.06.25</t>
  </si>
  <si>
    <t xml:space="preserve">Khirul da </t>
  </si>
  <si>
    <t>Suraj Mistry</t>
  </si>
  <si>
    <t>Ni Group</t>
  </si>
  <si>
    <t>NI GROUP TOTAL BALANCE AS ON =</t>
  </si>
  <si>
    <t>Date</t>
  </si>
  <si>
    <t>Amin Masurement</t>
  </si>
  <si>
    <t>Off</t>
  </si>
  <si>
    <t>29.06.25</t>
  </si>
  <si>
    <t>Mati Cutting</t>
  </si>
  <si>
    <t>Post Jum</t>
  </si>
  <si>
    <t>01.07.25</t>
  </si>
  <si>
    <t>Bali Pathor</t>
  </si>
  <si>
    <t>Electrick Tar</t>
  </si>
  <si>
    <t>Khairul Er Dada</t>
  </si>
  <si>
    <t>Disel</t>
  </si>
  <si>
    <t>Tifen</t>
  </si>
  <si>
    <t>02.07.25</t>
  </si>
  <si>
    <t>Cement+Pathor</t>
  </si>
  <si>
    <t>Paticuler</t>
  </si>
  <si>
    <t>Labour QTY</t>
  </si>
  <si>
    <t>Tin fitting+post jum</t>
  </si>
  <si>
    <t>Chaa Pani</t>
  </si>
  <si>
    <t>05.07.25</t>
  </si>
  <si>
    <t>04.07.25</t>
  </si>
  <si>
    <t>Lunch</t>
  </si>
  <si>
    <t>Cement 2 Bag+Van</t>
  </si>
  <si>
    <t>03.07.25</t>
  </si>
  <si>
    <t>lunch</t>
  </si>
  <si>
    <t>Primer+Tarpin</t>
  </si>
  <si>
    <t>Dhali Matarial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</si>
</sst>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/mmm\/yyyy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rebuchet MS"/>
      <family val="2"/>
    </font>
    <font>
      <b/>
      <sz val="12"/>
      <name val="Trebuchet MS"/>
      <family val="2"/>
    </font>
    <font>
      <b/>
      <i/>
      <sz val="12"/>
      <name val="Trebuchet MS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 wrapText="1"/>
    </xf>
    <xf numFmtId="0" fontId="4" fillId="0" borderId="1" xfId="0" applyFont="1" applyBorder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4" fontId="1" fillId="0" borderId="0" xfId="0" applyNumberFormat="1" applyFont="1" applyAlignment="1">
      <alignment wrapText="1"/>
    </xf>
    <xf numFmtId="1" fontId="4" fillId="0" borderId="1" xfId="0" applyNumberFormat="1" applyFont="1" applyBorder="1"/>
    <xf numFmtId="1" fontId="5" fillId="0" borderId="1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1"/>
  <sheetViews>
    <sheetView tabSelected="1" view="pageBreakPreview" topLeftCell="A15" zoomScale="89" zoomScaleNormal="100" zoomScaleSheetLayoutView="100" workbookViewId="0">
      <selection activeCell="F34" sqref="F34"/>
    </sheetView>
  </sheetViews>
  <sheetFormatPr defaultColWidth="9.109375" defaultRowHeight="16.2" x14ac:dyDescent="0.35"/>
  <cols>
    <col min="1" max="3" width="9.109375" style="13"/>
    <col min="4" max="4" width="39.77734375" style="13" customWidth="1"/>
    <col min="5" max="5" width="16.88671875" style="13" customWidth="1"/>
    <col min="6" max="6" width="13.6640625" style="13" customWidth="1"/>
    <col min="7" max="16384" width="9.109375" style="13"/>
  </cols>
  <sheetData>
    <row r="2" spans="1:6" x14ac:dyDescent="0.35">
      <c r="D2" s="31" t="s">
        <v>19</v>
      </c>
      <c r="E2" s="31"/>
      <c r="F2" s="31"/>
    </row>
    <row r="3" spans="1:6" x14ac:dyDescent="0.35">
      <c r="D3" s="32" t="s">
        <v>0</v>
      </c>
      <c r="E3" s="32"/>
      <c r="F3" s="32"/>
    </row>
    <row r="4" spans="1:6" x14ac:dyDescent="0.35">
      <c r="D4" s="1" t="s">
        <v>1</v>
      </c>
      <c r="E4" s="1" t="s">
        <v>2</v>
      </c>
      <c r="F4" s="1" t="s">
        <v>3</v>
      </c>
    </row>
    <row r="5" spans="1:6" x14ac:dyDescent="0.35">
      <c r="A5" s="14"/>
      <c r="B5" s="15"/>
      <c r="C5" s="15"/>
      <c r="D5" s="12" t="s">
        <v>7</v>
      </c>
      <c r="E5" s="12" t="s">
        <v>8</v>
      </c>
      <c r="F5" s="12">
        <v>50000</v>
      </c>
    </row>
    <row r="6" spans="1:6" x14ac:dyDescent="0.35">
      <c r="A6" s="14"/>
      <c r="B6" s="15"/>
      <c r="C6" s="15"/>
      <c r="D6" s="12" t="s">
        <v>7</v>
      </c>
      <c r="E6" s="12" t="s">
        <v>9</v>
      </c>
      <c r="F6" s="12">
        <v>200000</v>
      </c>
    </row>
    <row r="7" spans="1:6" x14ac:dyDescent="0.35">
      <c r="A7" s="14"/>
      <c r="B7" s="15"/>
      <c r="C7" s="15"/>
      <c r="D7" s="12" t="s">
        <v>7</v>
      </c>
      <c r="E7" s="12" t="s">
        <v>27</v>
      </c>
      <c r="F7" s="12">
        <v>47500</v>
      </c>
    </row>
    <row r="8" spans="1:6" x14ac:dyDescent="0.35">
      <c r="A8" s="14"/>
      <c r="B8" s="15"/>
      <c r="C8" s="15"/>
      <c r="D8" s="12" t="s">
        <v>7</v>
      </c>
      <c r="E8" s="12" t="s">
        <v>33</v>
      </c>
      <c r="F8" s="12">
        <v>12500</v>
      </c>
    </row>
    <row r="9" spans="1:6" x14ac:dyDescent="0.35">
      <c r="A9" s="14"/>
      <c r="B9" s="15"/>
      <c r="C9" s="15"/>
      <c r="D9" s="12" t="s">
        <v>7</v>
      </c>
      <c r="E9" s="12" t="s">
        <v>40</v>
      </c>
      <c r="F9" s="12">
        <v>50000</v>
      </c>
    </row>
    <row r="10" spans="1:6" x14ac:dyDescent="0.35">
      <c r="A10" s="14"/>
      <c r="B10" s="15"/>
      <c r="C10" s="15"/>
      <c r="D10" s="12" t="s">
        <v>7</v>
      </c>
      <c r="E10" s="12" t="s">
        <v>39</v>
      </c>
      <c r="F10" s="12">
        <v>25000</v>
      </c>
    </row>
    <row r="11" spans="1:6" x14ac:dyDescent="0.35">
      <c r="A11" s="14"/>
      <c r="B11" s="15"/>
      <c r="C11" s="15"/>
      <c r="D11" s="12"/>
      <c r="E11" s="12"/>
      <c r="F11" s="12"/>
    </row>
    <row r="12" spans="1:6" x14ac:dyDescent="0.35">
      <c r="D12" s="25"/>
      <c r="E12" s="2"/>
      <c r="F12" s="3"/>
    </row>
    <row r="13" spans="1:6" x14ac:dyDescent="0.35">
      <c r="A13" s="14"/>
      <c r="B13" s="15"/>
      <c r="C13" s="15"/>
      <c r="D13" s="12"/>
      <c r="E13" s="12"/>
      <c r="F13" s="12"/>
    </row>
    <row r="14" spans="1:6" x14ac:dyDescent="0.35">
      <c r="A14" s="14"/>
      <c r="B14" s="15"/>
      <c r="C14" s="15"/>
      <c r="D14" s="12"/>
      <c r="E14" s="12"/>
      <c r="F14" s="12"/>
    </row>
    <row r="15" spans="1:6" x14ac:dyDescent="0.35">
      <c r="D15" s="25"/>
      <c r="E15" s="2"/>
      <c r="F15" s="3"/>
    </row>
    <row r="16" spans="1:6" x14ac:dyDescent="0.35">
      <c r="D16" s="25"/>
      <c r="E16" s="2"/>
      <c r="F16" s="3"/>
    </row>
    <row r="17" spans="3:6" x14ac:dyDescent="0.35">
      <c r="D17" s="33" t="s">
        <v>4</v>
      </c>
      <c r="E17" s="33"/>
      <c r="F17" s="10">
        <f>SUM(F5:F16)</f>
        <v>385000</v>
      </c>
    </row>
    <row r="18" spans="3:6" x14ac:dyDescent="0.35">
      <c r="D18" s="34" t="s">
        <v>5</v>
      </c>
      <c r="E18" s="34"/>
      <c r="F18" s="34"/>
    </row>
    <row r="19" spans="3:6" x14ac:dyDescent="0.35">
      <c r="D19" s="4" t="s">
        <v>1</v>
      </c>
      <c r="E19" s="4" t="s">
        <v>2</v>
      </c>
      <c r="F19" s="4" t="s">
        <v>3</v>
      </c>
    </row>
    <row r="20" spans="3:6" x14ac:dyDescent="0.35">
      <c r="C20" s="14"/>
      <c r="D20" s="12" t="s">
        <v>10</v>
      </c>
      <c r="E20" s="36" t="s">
        <v>8</v>
      </c>
      <c r="F20" s="17">
        <v>100</v>
      </c>
    </row>
    <row r="21" spans="3:6" x14ac:dyDescent="0.35">
      <c r="C21" s="14"/>
      <c r="D21" s="12" t="s">
        <v>38</v>
      </c>
      <c r="E21" s="36"/>
      <c r="F21" s="17">
        <v>100</v>
      </c>
    </row>
    <row r="22" spans="3:6" x14ac:dyDescent="0.35">
      <c r="C22" s="14"/>
      <c r="D22" s="12" t="s">
        <v>12</v>
      </c>
      <c r="E22" s="36" t="s">
        <v>11</v>
      </c>
      <c r="F22" s="17">
        <v>1000</v>
      </c>
    </row>
    <row r="23" spans="3:6" x14ac:dyDescent="0.35">
      <c r="C23" s="14"/>
      <c r="D23" s="12" t="s">
        <v>13</v>
      </c>
      <c r="E23" s="36"/>
      <c r="F23" s="17">
        <v>1700</v>
      </c>
    </row>
    <row r="24" spans="3:6" x14ac:dyDescent="0.35">
      <c r="C24" s="14"/>
      <c r="D24" s="12" t="s">
        <v>17</v>
      </c>
      <c r="E24" s="36"/>
      <c r="F24" s="17">
        <v>100000</v>
      </c>
    </row>
    <row r="25" spans="3:6" x14ac:dyDescent="0.35">
      <c r="C25" s="14"/>
      <c r="D25" s="12" t="s">
        <v>18</v>
      </c>
      <c r="E25" s="36"/>
      <c r="F25" s="17">
        <v>10000</v>
      </c>
    </row>
    <row r="26" spans="3:6" x14ac:dyDescent="0.35">
      <c r="C26" s="14"/>
      <c r="D26" s="12" t="s">
        <v>38</v>
      </c>
      <c r="E26" s="36"/>
      <c r="F26" s="17">
        <v>200</v>
      </c>
    </row>
    <row r="27" spans="3:6" x14ac:dyDescent="0.35">
      <c r="C27" s="14"/>
      <c r="D27" s="12" t="s">
        <v>14</v>
      </c>
      <c r="E27" s="36" t="s">
        <v>16</v>
      </c>
      <c r="F27" s="17">
        <v>1750</v>
      </c>
    </row>
    <row r="28" spans="3:6" x14ac:dyDescent="0.35">
      <c r="C28" s="14"/>
      <c r="D28" s="12" t="s">
        <v>15</v>
      </c>
      <c r="E28" s="36"/>
      <c r="F28" s="17">
        <v>125000</v>
      </c>
    </row>
    <row r="29" spans="3:6" x14ac:dyDescent="0.35">
      <c r="C29" s="14"/>
      <c r="D29" s="12" t="s">
        <v>32</v>
      </c>
      <c r="E29" s="36"/>
      <c r="F29" s="17">
        <v>500</v>
      </c>
    </row>
    <row r="30" spans="3:6" x14ac:dyDescent="0.35">
      <c r="C30" s="14"/>
      <c r="D30" s="12" t="s">
        <v>46</v>
      </c>
      <c r="E30" s="36" t="s">
        <v>27</v>
      </c>
      <c r="F30" s="17">
        <v>35000</v>
      </c>
    </row>
    <row r="31" spans="3:6" x14ac:dyDescent="0.35">
      <c r="C31" s="14"/>
      <c r="D31" s="12" t="s">
        <v>28</v>
      </c>
      <c r="E31" s="36"/>
      <c r="F31" s="17">
        <v>8800</v>
      </c>
    </row>
    <row r="32" spans="3:6" x14ac:dyDescent="0.35">
      <c r="C32" s="14"/>
      <c r="D32" s="12" t="s">
        <v>18</v>
      </c>
      <c r="E32" s="36"/>
      <c r="F32" s="17">
        <v>2000</v>
      </c>
    </row>
    <row r="33" spans="3:6" x14ac:dyDescent="0.35">
      <c r="C33" s="14"/>
      <c r="D33" s="12" t="s">
        <v>29</v>
      </c>
      <c r="E33" s="36"/>
      <c r="F33" s="17">
        <v>2000</v>
      </c>
    </row>
    <row r="34" spans="3:6" x14ac:dyDescent="0.35">
      <c r="C34" s="14"/>
      <c r="D34" s="12" t="s">
        <v>30</v>
      </c>
      <c r="E34" s="36"/>
      <c r="F34" s="17">
        <v>2000</v>
      </c>
    </row>
    <row r="35" spans="3:6" x14ac:dyDescent="0.35">
      <c r="D35" s="26" t="s">
        <v>31</v>
      </c>
      <c r="E35" s="36"/>
      <c r="F35" s="18">
        <v>1000</v>
      </c>
    </row>
    <row r="36" spans="3:6" x14ac:dyDescent="0.35">
      <c r="D36" s="12" t="s">
        <v>32</v>
      </c>
      <c r="E36" s="36"/>
      <c r="F36" s="18">
        <v>500</v>
      </c>
    </row>
    <row r="37" spans="3:6" x14ac:dyDescent="0.35">
      <c r="D37" s="26" t="s">
        <v>31</v>
      </c>
      <c r="E37" s="36" t="s">
        <v>33</v>
      </c>
      <c r="F37" s="18">
        <v>500</v>
      </c>
    </row>
    <row r="38" spans="3:6" x14ac:dyDescent="0.35">
      <c r="D38" s="12" t="s">
        <v>34</v>
      </c>
      <c r="E38" s="36"/>
      <c r="F38" s="18">
        <v>2700</v>
      </c>
    </row>
    <row r="39" spans="3:6" x14ac:dyDescent="0.35">
      <c r="D39" s="25" t="s">
        <v>38</v>
      </c>
      <c r="E39" s="36"/>
      <c r="F39" s="19">
        <v>300</v>
      </c>
    </row>
    <row r="40" spans="3:6" x14ac:dyDescent="0.35">
      <c r="D40" s="25" t="s">
        <v>38</v>
      </c>
      <c r="E40" s="37" t="s">
        <v>43</v>
      </c>
      <c r="F40" s="19">
        <v>200</v>
      </c>
    </row>
    <row r="41" spans="3:6" x14ac:dyDescent="0.35">
      <c r="D41" s="30" t="s">
        <v>41</v>
      </c>
      <c r="E41" s="38"/>
      <c r="F41" s="29">
        <v>1000</v>
      </c>
    </row>
    <row r="42" spans="3:6" x14ac:dyDescent="0.35">
      <c r="D42" s="25" t="s">
        <v>31</v>
      </c>
      <c r="E42" s="38"/>
      <c r="F42" s="19">
        <v>1000</v>
      </c>
    </row>
    <row r="43" spans="3:6" x14ac:dyDescent="0.35">
      <c r="D43" s="25" t="s">
        <v>42</v>
      </c>
      <c r="E43" s="39"/>
      <c r="F43" s="19">
        <v>760</v>
      </c>
    </row>
    <row r="44" spans="3:6" x14ac:dyDescent="0.35">
      <c r="D44" s="25" t="s">
        <v>38</v>
      </c>
      <c r="E44" s="37" t="s">
        <v>40</v>
      </c>
      <c r="F44" s="19">
        <v>250</v>
      </c>
    </row>
    <row r="45" spans="3:6" x14ac:dyDescent="0.35">
      <c r="D45" s="25" t="s">
        <v>41</v>
      </c>
      <c r="E45" s="38"/>
      <c r="F45" s="19">
        <v>1000</v>
      </c>
    </row>
    <row r="46" spans="3:6" x14ac:dyDescent="0.35">
      <c r="D46" s="25" t="s">
        <v>31</v>
      </c>
      <c r="E46" s="38"/>
      <c r="F46" s="19">
        <v>500</v>
      </c>
    </row>
    <row r="47" spans="3:6" x14ac:dyDescent="0.35">
      <c r="D47" s="25" t="s">
        <v>15</v>
      </c>
      <c r="E47" s="38"/>
      <c r="F47" s="19">
        <v>55500</v>
      </c>
    </row>
    <row r="48" spans="3:6" x14ac:dyDescent="0.35">
      <c r="D48" s="25" t="s">
        <v>45</v>
      </c>
      <c r="E48" s="39"/>
      <c r="F48" s="19">
        <v>900</v>
      </c>
    </row>
    <row r="49" spans="4:6" x14ac:dyDescent="0.35">
      <c r="D49" s="25" t="s">
        <v>38</v>
      </c>
      <c r="E49" s="37" t="s">
        <v>39</v>
      </c>
      <c r="F49" s="19">
        <v>150</v>
      </c>
    </row>
    <row r="50" spans="4:6" x14ac:dyDescent="0.35">
      <c r="D50" s="25" t="s">
        <v>44</v>
      </c>
      <c r="E50" s="38"/>
      <c r="F50" s="19">
        <v>1000</v>
      </c>
    </row>
    <row r="51" spans="4:6" x14ac:dyDescent="0.35">
      <c r="D51" s="12" t="s">
        <v>30</v>
      </c>
      <c r="E51" s="38"/>
      <c r="F51" s="19">
        <v>1500</v>
      </c>
    </row>
    <row r="52" spans="4:6" x14ac:dyDescent="0.35">
      <c r="D52" s="25" t="s">
        <v>15</v>
      </c>
      <c r="E52" s="38"/>
      <c r="F52" s="19">
        <v>19000</v>
      </c>
    </row>
    <row r="53" spans="4:6" x14ac:dyDescent="0.35">
      <c r="D53" s="25" t="s">
        <v>31</v>
      </c>
      <c r="E53" s="39"/>
      <c r="F53" s="19">
        <v>700</v>
      </c>
    </row>
    <row r="54" spans="4:6" x14ac:dyDescent="0.35">
      <c r="D54" s="25"/>
      <c r="E54" s="2"/>
      <c r="F54" s="19"/>
    </row>
    <row r="55" spans="4:6" x14ac:dyDescent="0.35">
      <c r="D55" s="35" t="s">
        <v>4</v>
      </c>
      <c r="E55" s="35"/>
      <c r="F55" s="5">
        <f>SUM(F20:F53)</f>
        <v>378610</v>
      </c>
    </row>
    <row r="56" spans="4:6" x14ac:dyDescent="0.35">
      <c r="D56" s="27" t="s">
        <v>6</v>
      </c>
      <c r="E56" s="6">
        <f ca="1">TODAY()</f>
        <v>46057</v>
      </c>
      <c r="F56" s="7">
        <f>F17-F55</f>
        <v>6390</v>
      </c>
    </row>
    <row r="58" spans="4:6" x14ac:dyDescent="0.35">
      <c r="D58" s="11" t="s">
        <v>20</v>
      </c>
      <c r="E58" s="8">
        <f ca="1">E56</f>
        <v>46057</v>
      </c>
      <c r="F58" s="9">
        <f>F56</f>
        <v>6390</v>
      </c>
    </row>
    <row r="61" spans="4:6" x14ac:dyDescent="0.35">
      <c r="F61" s="16"/>
    </row>
  </sheetData>
  <mergeCells count="13">
    <mergeCell ref="D2:F2"/>
    <mergeCell ref="D3:F3"/>
    <mergeCell ref="D17:E17"/>
    <mergeCell ref="D18:F18"/>
    <mergeCell ref="D55:E55"/>
    <mergeCell ref="E30:E36"/>
    <mergeCell ref="E27:E29"/>
    <mergeCell ref="E20:E21"/>
    <mergeCell ref="E22:E26"/>
    <mergeCell ref="E37:E39"/>
    <mergeCell ref="E40:E43"/>
    <mergeCell ref="E44:E48"/>
    <mergeCell ref="E49:E53"/>
  </mergeCells>
  <printOptions horizontalCentered="1"/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4AED-091F-4CCD-AACB-8C0F75E4055E}">
  <dimension ref="B2:D13"/>
  <sheetViews>
    <sheetView view="pageBreakPreview" zoomScale="112" zoomScaleNormal="100" zoomScaleSheetLayoutView="112" workbookViewId="0">
      <selection activeCell="D13" sqref="D13"/>
    </sheetView>
  </sheetViews>
  <sheetFormatPr defaultRowHeight="14.4" x14ac:dyDescent="0.3"/>
  <cols>
    <col min="2" max="2" width="11.44140625" customWidth="1"/>
    <col min="3" max="3" width="24.21875" customWidth="1"/>
    <col min="4" max="4" width="8.88671875" customWidth="1"/>
  </cols>
  <sheetData>
    <row r="2" spans="2:4" ht="28.8" x14ac:dyDescent="0.3">
      <c r="B2" s="23" t="s">
        <v>21</v>
      </c>
      <c r="C2" s="23" t="s">
        <v>35</v>
      </c>
      <c r="D2" s="28" t="s">
        <v>36</v>
      </c>
    </row>
    <row r="3" spans="2:4" x14ac:dyDescent="0.3">
      <c r="B3" s="21" t="s">
        <v>8</v>
      </c>
      <c r="C3" t="s">
        <v>22</v>
      </c>
      <c r="D3" s="21">
        <v>2</v>
      </c>
    </row>
    <row r="4" spans="2:4" x14ac:dyDescent="0.3">
      <c r="B4" s="21" t="s">
        <v>9</v>
      </c>
      <c r="C4" t="s">
        <v>23</v>
      </c>
      <c r="D4" s="21">
        <v>0</v>
      </c>
    </row>
    <row r="5" spans="2:4" x14ac:dyDescent="0.3">
      <c r="B5" s="21" t="s">
        <v>24</v>
      </c>
      <c r="C5" t="s">
        <v>25</v>
      </c>
      <c r="D5" s="21">
        <v>4</v>
      </c>
    </row>
    <row r="6" spans="2:4" x14ac:dyDescent="0.3">
      <c r="B6" s="21" t="s">
        <v>16</v>
      </c>
      <c r="C6" t="s">
        <v>26</v>
      </c>
      <c r="D6" s="21">
        <v>8</v>
      </c>
    </row>
    <row r="7" spans="2:4" x14ac:dyDescent="0.3">
      <c r="B7" s="22">
        <f>DATE(2025,7,1)</f>
        <v>45839</v>
      </c>
      <c r="C7" t="s">
        <v>22</v>
      </c>
      <c r="D7" s="21">
        <v>7</v>
      </c>
    </row>
    <row r="8" spans="2:4" x14ac:dyDescent="0.3">
      <c r="B8" s="22">
        <f>B7+1</f>
        <v>45840</v>
      </c>
      <c r="C8" t="s">
        <v>37</v>
      </c>
      <c r="D8" s="21">
        <v>17</v>
      </c>
    </row>
    <row r="9" spans="2:4" x14ac:dyDescent="0.3">
      <c r="B9" s="22">
        <f t="shared" ref="B9:B11" si="0">B8+1</f>
        <v>45841</v>
      </c>
      <c r="C9" t="s">
        <v>37</v>
      </c>
      <c r="D9" s="21">
        <v>8</v>
      </c>
    </row>
    <row r="10" spans="2:4" x14ac:dyDescent="0.3">
      <c r="B10" s="22">
        <f t="shared" si="0"/>
        <v>45842</v>
      </c>
      <c r="C10" t="s">
        <v>37</v>
      </c>
      <c r="D10" s="21">
        <v>8</v>
      </c>
    </row>
    <row r="11" spans="2:4" x14ac:dyDescent="0.3">
      <c r="B11" s="22">
        <f t="shared" si="0"/>
        <v>45843</v>
      </c>
      <c r="C11" t="s">
        <v>37</v>
      </c>
      <c r="D11" s="21">
        <v>8</v>
      </c>
    </row>
    <row r="12" spans="2:4" x14ac:dyDescent="0.3">
      <c r="B12" s="20"/>
    </row>
    <row r="13" spans="2:4" x14ac:dyDescent="0.3">
      <c r="B13" s="23"/>
      <c r="C13" s="23"/>
      <c r="D13" s="24">
        <f>SUM(D3:D12)</f>
        <v>62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Exp</vt:lpstr>
      <vt:lpstr>Boundary Labour</vt:lpstr>
      <vt:lpstr>'Boundary Labour'!Print_Area</vt:lpstr>
      <vt:lpstr>Exp!Print_Area</vt:lpstr>
      <vt:lpstr>Exp!Print_Titles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CR-7</dc:creator>
  <cp:lastModifiedBy>saiful</cp:lastModifiedBy>
  <cp:lastPrinted>2025-07-02T09:53:42Z</cp:lastPrinted>
  <dcterms:created xsi:type="dcterms:W3CDTF">2024-03-02T09:45:32Z</dcterms:created>
  <dcterms:modified xsi:type="dcterms:W3CDTF">2026-02-04T08:10:30Z</dcterms:modified>
</cp:coreProperties>
</file>