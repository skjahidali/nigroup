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aifu\OneDrive\Desktop\Back Up\3.NI Group\4.Pathorghata\Irish\All Deed Iris\"/>
    </mc:Choice>
  </mc:AlternateContent>
  <xr:revisionPtr revIDLastSave="0" documentId="13_ncr:1_{EE405B35-8CA9-4B49-8353-1CAAE2146F23}" xr6:coauthVersionLast="47" xr6:coauthVersionMax="47" xr10:uidLastSave="{00000000-0000-0000-0000-000000000000}"/>
  <bookViews>
    <workbookView xWindow="0" yWindow="384" windowWidth="23040" windowHeight="12240" activeTab="1" xr2:uid="{EAA7B582-E30C-44D4-B9A0-40138368E272}"/>
  </bookViews>
  <sheets>
    <sheet name="Sheet2" sheetId="2" r:id="rId1"/>
    <sheet name="IRIS Payment Details " sheetId="1" r:id="rId2"/>
  </sheets>
  <definedNames>
    <definedName name="_xlnm._FilterDatabase" localSheetId="1" hidden="1">'IRIS Payment Details '!$A$1:$F$35</definedName>
  </definedNam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1" l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35" i="1" l="1"/>
</calcChain>
</file>

<file path=xl/sharedStrings.xml><?xml version="1.0" encoding="utf-8"?>
<sst xmlns="http://schemas.openxmlformats.org/spreadsheetml/2006/main" count="146" uniqueCount="56">
  <si>
    <t>Block No.</t>
  </si>
  <si>
    <t>Area</t>
  </si>
  <si>
    <t>Name</t>
  </si>
  <si>
    <t>A</t>
  </si>
  <si>
    <t>C</t>
  </si>
  <si>
    <t>B</t>
  </si>
  <si>
    <t>SK SAHIM UDDIN</t>
  </si>
  <si>
    <t>SHAMSUL HAQUE &amp;  RAZIA HAQUE (9088377297)</t>
  </si>
  <si>
    <t>SAMSUL SK (9832035398)</t>
  </si>
  <si>
    <t>RAJINA PRAVIN (9874644664 / 8617254850)</t>
  </si>
  <si>
    <t>MAHAMMAD ZAKARIA (8617410671)</t>
  </si>
  <si>
    <t>UNJERA BANU</t>
  </si>
  <si>
    <t>Remarks</t>
  </si>
  <si>
    <t>SL No.</t>
  </si>
  <si>
    <t>MD ASRAFUL KHAN (8918053186)</t>
  </si>
  <si>
    <t>MOHAMMAD ADNAN FAISAL (7003317797)</t>
  </si>
  <si>
    <t>REGINA PARVEEN (9574004946)</t>
  </si>
  <si>
    <t>ALTAMASH AZIZ (8961048238)</t>
  </si>
  <si>
    <t>AHSHAN AZIZ (9836568939)</t>
  </si>
  <si>
    <t>IMRAN ALI</t>
  </si>
  <si>
    <t>MONIRA AKHTER BANU (8820896967)</t>
  </si>
  <si>
    <t>AHMED RAZA (9572076683)</t>
  </si>
  <si>
    <t>HOSSAIN MD SOUKAT ALI ((APEL DA'S RELATIVE)</t>
  </si>
  <si>
    <t>SAYEBUR RAHAMAN (APEL DA) (9831926949)</t>
  </si>
  <si>
    <t>AMINUR RAHAMAN (9732949454 / 8337850899)</t>
  </si>
  <si>
    <t>FASHI AHMED</t>
  </si>
  <si>
    <t>ADIL FAIZ (8981755942)</t>
  </si>
  <si>
    <t>HASINA ARZU (9836611415)</t>
  </si>
  <si>
    <t xml:space="preserve">MASUMA KHATIUN (APEL DA'S RELATIVE) </t>
  </si>
  <si>
    <t>WAJIH AHMAD</t>
  </si>
  <si>
    <t>SHABNAM MOSTARI (9832035398)</t>
  </si>
  <si>
    <t>BAHADUR ALI MONDAL &amp; ROJINA KHATUN (9289744015 / 9431570916)</t>
  </si>
  <si>
    <t>JALALUDDIN MOLLAH (9836835756 / 9330439503)</t>
  </si>
  <si>
    <t>MOHAMMED RAFAT SAYEED &amp; TAZEEN SHDAN</t>
  </si>
  <si>
    <t>SABINA KHATUN (9874802735)</t>
  </si>
  <si>
    <t>AZAD MD SAFIUL HAQUE  (8617410671)</t>
  </si>
  <si>
    <t>SHAMSUL HAQUE &amp;  M HASSAIN ( (9088377297))</t>
  </si>
  <si>
    <t>SOHEL AHMED  (9831193600)</t>
  </si>
  <si>
    <t xml:space="preserve">FARHANAZ BEGUM -                                                                      </t>
  </si>
  <si>
    <t xml:space="preserve">MD MONIRUL ISLAM MOLLA -                       </t>
  </si>
  <si>
    <t>TOTAL</t>
  </si>
  <si>
    <t>Land Owner</t>
  </si>
  <si>
    <t>Drop out _Chance</t>
  </si>
  <si>
    <t>Registry Done</t>
  </si>
  <si>
    <t>Registry to be occur</t>
  </si>
  <si>
    <t>Sekh Alaudin</t>
  </si>
  <si>
    <t>Shirsha Chowdhury</t>
  </si>
  <si>
    <t>Sritanu Jana</t>
  </si>
  <si>
    <t>Emili Parveen &amp; Sonali Parvin</t>
  </si>
  <si>
    <t>(All)</t>
  </si>
  <si>
    <t>(blank)</t>
  </si>
  <si>
    <t>Grand Total</t>
  </si>
  <si>
    <t>Row Labels</t>
  </si>
  <si>
    <t>Sum of Area</t>
  </si>
  <si>
    <t>MODUL ISLAM AND WIFE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</si>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</sst>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family val="2"/>
      <scheme val="minor"/>
    </font>
    <font>
      <b/>
      <sz val="10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right" wrapText="1"/>
    </xf>
    <xf numFmtId="0" fontId="3" fillId="7" borderId="3" xfId="0" applyFont="1" applyFill="1" applyBorder="1" applyAlignment="1">
      <alignment wrapText="1"/>
    </xf>
    <xf numFmtId="0" fontId="3" fillId="7" borderId="3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right" wrapText="1"/>
    </xf>
    <xf numFmtId="0" fontId="3" fillId="4" borderId="3" xfId="0" applyFont="1" applyFill="1" applyBorder="1" applyAlignment="1">
      <alignment horizontal="right" wrapText="1"/>
    </xf>
    <xf numFmtId="0" fontId="3" fillId="4" borderId="3" xfId="0" applyFont="1" applyFill="1" applyBorder="1" applyAlignment="1">
      <alignment wrapText="1"/>
    </xf>
    <xf numFmtId="0" fontId="3" fillId="4" borderId="3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right" wrapText="1"/>
    </xf>
    <xf numFmtId="0" fontId="3" fillId="5" borderId="3" xfId="0" applyFont="1" applyFill="1" applyBorder="1" applyAlignment="1">
      <alignment horizontal="right" wrapText="1"/>
    </xf>
    <xf numFmtId="0" fontId="3" fillId="5" borderId="3" xfId="0" applyFont="1" applyFill="1" applyBorder="1" applyAlignment="1">
      <alignment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right" wrapText="1"/>
    </xf>
    <xf numFmtId="0" fontId="3" fillId="8" borderId="3" xfId="0" applyFont="1" applyFill="1" applyBorder="1" applyAlignment="1">
      <alignment horizontal="right" wrapText="1"/>
    </xf>
    <xf numFmtId="0" fontId="3" fillId="8" borderId="3" xfId="0" applyFont="1" applyFill="1" applyBorder="1" applyAlignment="1">
      <alignment wrapText="1"/>
    </xf>
    <xf numFmtId="0" fontId="3" fillId="8" borderId="3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vertical="top" wrapText="1"/>
    </xf>
    <xf numFmtId="0" fontId="4" fillId="5" borderId="3" xfId="0" applyFont="1" applyFill="1" applyBorder="1" applyAlignment="1">
      <alignment wrapText="1"/>
    </xf>
    <xf numFmtId="0" fontId="4" fillId="5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right" wrapText="1"/>
    </xf>
    <xf numFmtId="0" fontId="4" fillId="6" borderId="3" xfId="0" applyFont="1" applyFill="1" applyBorder="1" applyAlignment="1">
      <alignment wrapText="1"/>
    </xf>
    <xf numFmtId="0" fontId="4" fillId="6" borderId="3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right" wrapText="1"/>
    </xf>
    <xf numFmtId="0" fontId="4" fillId="10" borderId="3" xfId="0" applyFont="1" applyFill="1" applyBorder="1" applyAlignment="1">
      <alignment wrapText="1"/>
    </xf>
    <xf numFmtId="0" fontId="4" fillId="10" borderId="3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 vertical="top" wrapText="1"/>
    </xf>
    <xf numFmtId="0" fontId="4" fillId="9" borderId="3" xfId="0" applyFont="1" applyFill="1" applyBorder="1" applyAlignment="1">
      <alignment wrapText="1"/>
    </xf>
    <xf numFmtId="0" fontId="4" fillId="9" borderId="3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wrapText="1"/>
    </xf>
    <xf numFmtId="0" fontId="5" fillId="9" borderId="3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12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 GROUP ACCOUNTS" refreshedDate="45981.783071296297" createdVersion="8" refreshedVersion="8" minRefreshableVersion="3" recordCount="33" xr:uid="{FDBC25B8-1421-446D-B67A-BD80CB38CA51}">
  <cacheSource type="worksheet">
    <worksheetSource ref="A1:F34" sheet="IRIS Payment Details "/>
  </cacheSource>
  <cacheFields count="6">
    <cacheField name="SL No." numFmtId="0">
      <sharedItems containsSemiMixedTypes="0" containsString="0" containsNumber="1" containsInteger="1" minValue="1" maxValue="33"/>
    </cacheField>
    <cacheField name="Block No." numFmtId="0">
      <sharedItems containsBlank="1"/>
    </cacheField>
    <cacheField name="Name" numFmtId="0">
      <sharedItems/>
    </cacheField>
    <cacheField name="Area" numFmtId="0">
      <sharedItems containsSemiMixedTypes="0" containsString="0" containsNumber="1" minValue="0.75" maxValue="2"/>
    </cacheField>
    <cacheField name="Land Owner" numFmtId="0">
      <sharedItems containsBlank="1" count="5">
        <m/>
        <s v="Shirsha Chowdhury"/>
        <s v="Sritanu Jana"/>
        <s v="Sekh Alaudin"/>
        <s v="Emili Parveen &amp; Sonali Parvin"/>
      </sharedItems>
    </cacheField>
    <cacheField name="Remarks" numFmtId="0">
      <sharedItems containsBlank="1" count="5">
        <s v="Drop out _Chance"/>
        <s v="Registry Done"/>
        <s v="Registry to be occur"/>
        <s v="Pend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1"/>
    <s v="A"/>
    <s v="MD ASRAFUL KHAN (8918053186)"/>
    <n v="2"/>
    <x v="0"/>
    <x v="0"/>
  </r>
  <r>
    <n v="2"/>
    <s v="A"/>
    <s v="MOHAMMAD ADNAN FAISAL (7003317797)"/>
    <n v="1.25"/>
    <x v="0"/>
    <x v="0"/>
  </r>
  <r>
    <n v="3"/>
    <s v="C"/>
    <s v="REGINA PARVEEN (9574004946)"/>
    <n v="1.25"/>
    <x v="1"/>
    <x v="1"/>
  </r>
  <r>
    <n v="4"/>
    <s v="A"/>
    <s v="ALTAMASH AZIZ (8961048238)"/>
    <n v="0.75"/>
    <x v="2"/>
    <x v="2"/>
  </r>
  <r>
    <n v="5"/>
    <s v="C"/>
    <s v="AHSHAN AZIZ (9836568939)"/>
    <n v="1.75"/>
    <x v="2"/>
    <x v="2"/>
  </r>
  <r>
    <n v="6"/>
    <s v="C"/>
    <s v="IMRAN ALI"/>
    <n v="1"/>
    <x v="3"/>
    <x v="1"/>
  </r>
  <r>
    <n v="7"/>
    <s v="A"/>
    <s v="MONIRA AKHTER BANU (8820896967)"/>
    <n v="1.75"/>
    <x v="3"/>
    <x v="1"/>
  </r>
  <r>
    <n v="8"/>
    <s v="A"/>
    <s v="AHMED RAZA (9572076683)"/>
    <n v="1.25"/>
    <x v="1"/>
    <x v="1"/>
  </r>
  <r>
    <n v="9"/>
    <s v="A"/>
    <s v="HOSSAIN MD SOUKAT ALI ((APEL DA'S RELATIVE)"/>
    <n v="1.5"/>
    <x v="4"/>
    <x v="1"/>
  </r>
  <r>
    <n v="10"/>
    <s v="A"/>
    <s v="SAYEBUR RAHAMAN (APEL DA) (9831926949)"/>
    <n v="1.5"/>
    <x v="0"/>
    <x v="0"/>
  </r>
  <r>
    <n v="11"/>
    <s v="C"/>
    <s v="AMINUR RAHAMAN (9732949454 / 8337850899)"/>
    <n v="1"/>
    <x v="3"/>
    <x v="1"/>
  </r>
  <r>
    <n v="12"/>
    <s v="B"/>
    <s v="FASHI AHMED"/>
    <n v="1.75"/>
    <x v="0"/>
    <x v="0"/>
  </r>
  <r>
    <n v="13"/>
    <s v="B"/>
    <s v="ADIL FAIZ (8981755942)"/>
    <n v="1.25"/>
    <x v="2"/>
    <x v="1"/>
  </r>
  <r>
    <n v="14"/>
    <s v="C"/>
    <s v="HASINA ARZU (9836611415)"/>
    <n v="1"/>
    <x v="2"/>
    <x v="0"/>
  </r>
  <r>
    <n v="15"/>
    <s v="C"/>
    <s v="MASUMA KHATIUN (APEL DA'S RELATIVE) "/>
    <n v="1"/>
    <x v="1"/>
    <x v="2"/>
  </r>
  <r>
    <n v="16"/>
    <s v="A"/>
    <s v="WAJIH AHMAD"/>
    <n v="1.75"/>
    <x v="0"/>
    <x v="0"/>
  </r>
  <r>
    <n v="17"/>
    <s v="A"/>
    <s v="SHABNAM MOSTARI (9832035398)"/>
    <n v="1.25"/>
    <x v="1"/>
    <x v="1"/>
  </r>
  <r>
    <n v="19"/>
    <m/>
    <s v="JALALUDDIN MOLLAH (9836835756 / 9330439503)"/>
    <n v="2"/>
    <x v="4"/>
    <x v="1"/>
  </r>
  <r>
    <n v="18"/>
    <s v="B"/>
    <s v="BAHADUR ALI MONDAL &amp; ROJINA KHATUN (9289744015 / 9431570916)"/>
    <n v="1.5"/>
    <x v="1"/>
    <x v="2"/>
  </r>
  <r>
    <n v="20"/>
    <m/>
    <s v="SK SAHIM UDDIN"/>
    <n v="1"/>
    <x v="1"/>
    <x v="2"/>
  </r>
  <r>
    <n v="21"/>
    <m/>
    <s v="SHAMSUL HAQUE &amp;  RAZIA HAQUE (9088377297)"/>
    <n v="1"/>
    <x v="1"/>
    <x v="1"/>
  </r>
  <r>
    <n v="22"/>
    <s v="A"/>
    <s v="SAMSUL SK (9832035398)"/>
    <n v="1.5"/>
    <x v="3"/>
    <x v="3"/>
  </r>
  <r>
    <n v="23"/>
    <m/>
    <s v="MOHAMMED RAFAT SAYEED &amp; TAZEEN SHDAN"/>
    <n v="1"/>
    <x v="1"/>
    <x v="1"/>
  </r>
  <r>
    <n v="24"/>
    <m/>
    <s v="RAJINA PRAVIN (9874644664 / 8617254850)"/>
    <n v="1"/>
    <x v="2"/>
    <x v="2"/>
  </r>
  <r>
    <n v="25"/>
    <m/>
    <s v="SABINA KHATUN (9874802735)"/>
    <n v="1.25"/>
    <x v="2"/>
    <x v="2"/>
  </r>
  <r>
    <n v="26"/>
    <m/>
    <s v="MAHAMMAD ZAKARIA (8617410671)"/>
    <n v="1"/>
    <x v="0"/>
    <x v="4"/>
  </r>
  <r>
    <n v="27"/>
    <m/>
    <s v="AZAD MD SAFIUL HAQUE  (8617410671)"/>
    <n v="1.25"/>
    <x v="0"/>
    <x v="4"/>
  </r>
  <r>
    <n v="28"/>
    <m/>
    <s v="UNJERA BANU"/>
    <n v="1.25"/>
    <x v="2"/>
    <x v="2"/>
  </r>
  <r>
    <n v="29"/>
    <m/>
    <s v="SHAMSUL HAQUE &amp;  M HASSAIN ( (9088377297))"/>
    <n v="1"/>
    <x v="2"/>
    <x v="2"/>
  </r>
  <r>
    <n v="30"/>
    <m/>
    <s v="SOHEL AHMED  (9831193600)"/>
    <n v="1.5"/>
    <x v="2"/>
    <x v="2"/>
  </r>
  <r>
    <n v="31"/>
    <m/>
    <s v="FARHANAZ BEGUM -                                                                      "/>
    <n v="0.75"/>
    <x v="0"/>
    <x v="4"/>
  </r>
  <r>
    <n v="32"/>
    <m/>
    <s v="MD MONIRUL ISLAM MOLLA -                       "/>
    <n v="0.75"/>
    <x v="0"/>
    <x v="4"/>
  </r>
  <r>
    <n v="33"/>
    <m/>
    <s v="MODUL ISLAM AND WIFE"/>
    <n v="1.25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EC4BD-6D37-4B34-AE57-FD087E5E3E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showAll="0"/>
    <pivotField showAll="0"/>
    <pivotField showAll="0"/>
    <pivotField dataField="1" showAll="0"/>
    <pivotField axis="axisRow" multipleItemSelectionAllowed="1" showAll="0">
      <items count="6">
        <item x="4"/>
        <item x="3"/>
        <item x="1"/>
        <item x="2"/>
        <item x="0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re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D4CAB-658A-4587-853F-43D0BE6739F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1:J27" firstHeaderRow="1" firstDataRow="1" firstDataCol="1"/>
  <pivotFields count="6">
    <pivotField showAll="0"/>
    <pivotField showAll="0"/>
    <pivotField showAll="0"/>
    <pivotField dataField="1" showAll="0"/>
    <pivotField axis="axisRow" showAll="0">
      <items count="6">
        <item x="4"/>
        <item x="3"/>
        <item x="1"/>
        <item x="2"/>
        <item x="0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</pivotFields>
  <rowFields count="2">
    <field x="4"/>
    <field x="5"/>
  </rowFields>
  <rowItems count="16">
    <i>
      <x/>
    </i>
    <i r="1">
      <x v="1"/>
    </i>
    <i>
      <x v="1"/>
    </i>
    <i r="1">
      <x v="1"/>
    </i>
    <i r="1">
      <x v="4"/>
    </i>
    <i>
      <x v="2"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3"/>
    </i>
    <i t="grand">
      <x/>
    </i>
  </rowItems>
  <colItems count="1">
    <i/>
  </colItems>
  <dataFields count="1">
    <dataField name="Sum of Are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611FA-F46F-4F04-BC37-D48AC6F2016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9" firstHeaderRow="1" firstDataRow="1" firstDataCol="1" rowPageCount="1" colPageCount="1"/>
  <pivotFields count="6">
    <pivotField showAll="0"/>
    <pivotField showAll="0"/>
    <pivotField showAll="0"/>
    <pivotField dataField="1" showAll="0"/>
    <pivotField axis="axisRow" showAll="0">
      <items count="6">
        <item x="4"/>
        <item x="3"/>
        <item x="1"/>
        <item x="2"/>
        <item x="0"/>
        <item t="default"/>
      </items>
    </pivotField>
    <pivotField axis="axisPage" multipleItemSelectionAllowed="1" showAll="0">
      <items count="6">
        <item x="0"/>
        <item x="1"/>
        <item x="2"/>
        <item x="4"/>
        <item x="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Sum of Area" fld="3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C39B-1012-4841-93CE-08E56B53C795}">
  <dimension ref="A3:B9"/>
  <sheetViews>
    <sheetView workbookViewId="0">
      <selection activeCell="A3" sqref="A3"/>
    </sheetView>
  </sheetViews>
  <sheetFormatPr defaultRowHeight="13.2" x14ac:dyDescent="0.25"/>
  <cols>
    <col min="1" max="1" width="26" bestFit="1" customWidth="1"/>
    <col min="2" max="2" width="12.33203125" bestFit="1" customWidth="1"/>
    <col min="3" max="5" width="29" bestFit="1" customWidth="1"/>
    <col min="6" max="6" width="11.6640625" bestFit="1" customWidth="1"/>
  </cols>
  <sheetData>
    <row r="3" spans="1:2" x14ac:dyDescent="0.25">
      <c r="A3" s="2" t="s">
        <v>52</v>
      </c>
      <c r="B3" t="s">
        <v>53</v>
      </c>
    </row>
    <row r="4" spans="1:2" x14ac:dyDescent="0.25">
      <c r="A4" s="3" t="s">
        <v>48</v>
      </c>
      <c r="B4">
        <v>3.5</v>
      </c>
    </row>
    <row r="5" spans="1:2" x14ac:dyDescent="0.25">
      <c r="A5" s="3" t="s">
        <v>45</v>
      </c>
      <c r="B5">
        <v>5.25</v>
      </c>
    </row>
    <row r="6" spans="1:2" x14ac:dyDescent="0.25">
      <c r="A6" s="3" t="s">
        <v>46</v>
      </c>
      <c r="B6">
        <v>9.25</v>
      </c>
    </row>
    <row r="7" spans="1:2" x14ac:dyDescent="0.25">
      <c r="A7" s="3" t="s">
        <v>47</v>
      </c>
      <c r="B7">
        <v>10.75</v>
      </c>
    </row>
    <row r="8" spans="1:2" x14ac:dyDescent="0.25">
      <c r="A8" s="3" t="s">
        <v>50</v>
      </c>
      <c r="B8">
        <v>13.25</v>
      </c>
    </row>
    <row r="9" spans="1:2" x14ac:dyDescent="0.25">
      <c r="A9" s="3" t="s">
        <v>51</v>
      </c>
      <c r="B9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12D5-A2D0-4954-AC5E-BF5A19896C56}">
  <sheetPr>
    <tabColor rgb="FFFF00FF"/>
    <outlinePr summaryBelow="0" summaryRight="0"/>
    <pageSetUpPr fitToPage="1"/>
  </sheetPr>
  <dimension ref="A1:K48"/>
  <sheetViews>
    <sheetView tabSelected="1" zoomScaleNormal="100" workbookViewId="0">
      <pane ySplit="1" topLeftCell="A16" activePane="bottomLeft" state="frozen"/>
      <selection pane="bottomLeft" activeCell="D6" sqref="D6"/>
    </sheetView>
  </sheetViews>
  <sheetFormatPr defaultColWidth="12.5546875" defaultRowHeight="20.100000000000001" customHeight="1" x14ac:dyDescent="0.2"/>
  <cols>
    <col min="1" max="1" width="7" style="5" customWidth="1"/>
    <col min="2" max="2" width="6.88671875" style="5" hidden="1" customWidth="1"/>
    <col min="3" max="3" width="47.33203125" style="5" customWidth="1"/>
    <col min="4" max="4" width="12.33203125" style="8" bestFit="1" customWidth="1"/>
    <col min="5" max="5" width="21.6640625" style="5" customWidth="1"/>
    <col min="6" max="6" width="17.5546875" style="5" customWidth="1"/>
    <col min="7" max="7" width="19.109375" style="5" hidden="1" customWidth="1"/>
    <col min="8" max="8" width="2.109375" style="5" customWidth="1"/>
    <col min="9" max="9" width="20.88671875" style="5" bestFit="1" customWidth="1"/>
    <col min="10" max="10" width="8.88671875" style="5" bestFit="1" customWidth="1"/>
    <col min="11" max="11" width="3" style="5" bestFit="1" customWidth="1"/>
    <col min="12" max="12" width="5" style="5" bestFit="1" customWidth="1"/>
    <col min="13" max="13" width="4" style="5" bestFit="1" customWidth="1"/>
    <col min="14" max="14" width="5" style="5" bestFit="1" customWidth="1"/>
    <col min="15" max="15" width="2" style="5" bestFit="1" customWidth="1"/>
    <col min="16" max="16" width="11.6640625" style="5" bestFit="1" customWidth="1"/>
    <col min="17" max="16384" width="12.5546875" style="5"/>
  </cols>
  <sheetData>
    <row r="1" spans="1:11" ht="16.5" customHeight="1" x14ac:dyDescent="0.3">
      <c r="A1" s="9" t="s">
        <v>13</v>
      </c>
      <c r="B1" s="10" t="s">
        <v>0</v>
      </c>
      <c r="C1" s="10" t="s">
        <v>2</v>
      </c>
      <c r="D1" s="11" t="s">
        <v>1</v>
      </c>
      <c r="E1" s="10" t="s">
        <v>41</v>
      </c>
      <c r="F1" s="10" t="s">
        <v>12</v>
      </c>
      <c r="G1" s="1"/>
      <c r="I1" s="6" t="s">
        <v>12</v>
      </c>
      <c r="J1" s="5" t="s">
        <v>49</v>
      </c>
    </row>
    <row r="2" spans="1:11" ht="20.100000000000001" customHeight="1" x14ac:dyDescent="0.3">
      <c r="A2" s="12">
        <v>1</v>
      </c>
      <c r="B2" s="13" t="s">
        <v>3</v>
      </c>
      <c r="C2" s="13" t="s">
        <v>14</v>
      </c>
      <c r="D2" s="14">
        <v>2</v>
      </c>
      <c r="E2" s="13"/>
      <c r="F2" s="13" t="s">
        <v>42</v>
      </c>
      <c r="G2" s="15">
        <f t="shared" ref="G2:G19" si="0">(85000*D2)</f>
        <v>170000</v>
      </c>
    </row>
    <row r="3" spans="1:11" ht="20.100000000000001" customHeight="1" x14ac:dyDescent="0.3">
      <c r="A3" s="12">
        <v>2</v>
      </c>
      <c r="B3" s="13" t="s">
        <v>3</v>
      </c>
      <c r="C3" s="13" t="s">
        <v>15</v>
      </c>
      <c r="D3" s="14">
        <v>1.25</v>
      </c>
      <c r="E3" s="13"/>
      <c r="F3" s="13" t="s">
        <v>42</v>
      </c>
      <c r="G3" s="15">
        <f t="shared" si="0"/>
        <v>106250</v>
      </c>
      <c r="I3" s="6" t="s">
        <v>52</v>
      </c>
      <c r="J3" s="5" t="s">
        <v>53</v>
      </c>
    </row>
    <row r="4" spans="1:11" ht="20.100000000000001" customHeight="1" x14ac:dyDescent="0.3">
      <c r="A4" s="16">
        <v>3</v>
      </c>
      <c r="B4" s="17" t="s">
        <v>4</v>
      </c>
      <c r="C4" s="17" t="s">
        <v>16</v>
      </c>
      <c r="D4" s="18">
        <v>1.25</v>
      </c>
      <c r="E4" s="17" t="s">
        <v>46</v>
      </c>
      <c r="F4" s="17" t="s">
        <v>43</v>
      </c>
      <c r="G4" s="19">
        <f t="shared" si="0"/>
        <v>106250</v>
      </c>
      <c r="I4" s="7" t="s">
        <v>48</v>
      </c>
      <c r="J4" s="5">
        <v>3.5</v>
      </c>
    </row>
    <row r="5" spans="1:11" ht="20.100000000000001" customHeight="1" x14ac:dyDescent="0.3">
      <c r="A5" s="20">
        <v>4</v>
      </c>
      <c r="B5" s="21" t="s">
        <v>3</v>
      </c>
      <c r="C5" s="21" t="s">
        <v>17</v>
      </c>
      <c r="D5" s="22">
        <v>0.75</v>
      </c>
      <c r="E5" s="21" t="s">
        <v>47</v>
      </c>
      <c r="F5" s="21" t="s">
        <v>44</v>
      </c>
      <c r="G5" s="23">
        <f t="shared" si="0"/>
        <v>63750</v>
      </c>
      <c r="I5" s="7" t="s">
        <v>45</v>
      </c>
      <c r="J5" s="5">
        <v>5.25</v>
      </c>
    </row>
    <row r="6" spans="1:11" ht="20.100000000000001" customHeight="1" x14ac:dyDescent="0.3">
      <c r="A6" s="20">
        <v>5</v>
      </c>
      <c r="B6" s="21" t="s">
        <v>4</v>
      </c>
      <c r="C6" s="21" t="s">
        <v>18</v>
      </c>
      <c r="D6" s="22">
        <v>1.75</v>
      </c>
      <c r="E6" s="21" t="s">
        <v>47</v>
      </c>
      <c r="F6" s="21" t="s">
        <v>44</v>
      </c>
      <c r="G6" s="23">
        <f t="shared" si="0"/>
        <v>148750</v>
      </c>
      <c r="I6" s="7" t="s">
        <v>46</v>
      </c>
      <c r="J6" s="5">
        <v>9.25</v>
      </c>
    </row>
    <row r="7" spans="1:11" ht="20.100000000000001" customHeight="1" x14ac:dyDescent="0.3">
      <c r="A7" s="16">
        <v>6</v>
      </c>
      <c r="B7" s="17" t="s">
        <v>4</v>
      </c>
      <c r="C7" s="17" t="s">
        <v>19</v>
      </c>
      <c r="D7" s="18">
        <v>1</v>
      </c>
      <c r="E7" s="17" t="s">
        <v>45</v>
      </c>
      <c r="F7" s="17" t="s">
        <v>43</v>
      </c>
      <c r="G7" s="19">
        <f t="shared" si="0"/>
        <v>85000</v>
      </c>
      <c r="I7" s="7" t="s">
        <v>47</v>
      </c>
      <c r="J7" s="5">
        <v>10.75</v>
      </c>
    </row>
    <row r="8" spans="1:11" ht="20.100000000000001" customHeight="1" x14ac:dyDescent="0.3">
      <c r="A8" s="16">
        <v>7</v>
      </c>
      <c r="B8" s="17" t="s">
        <v>3</v>
      </c>
      <c r="C8" s="17" t="s">
        <v>20</v>
      </c>
      <c r="D8" s="18">
        <v>1.75</v>
      </c>
      <c r="E8" s="17" t="s">
        <v>45</v>
      </c>
      <c r="F8" s="17" t="s">
        <v>43</v>
      </c>
      <c r="G8" s="19">
        <f t="shared" si="0"/>
        <v>148750</v>
      </c>
      <c r="I8" s="7" t="s">
        <v>50</v>
      </c>
      <c r="J8" s="5">
        <v>13.25</v>
      </c>
    </row>
    <row r="9" spans="1:11" ht="20.100000000000001" customHeight="1" x14ac:dyDescent="0.3">
      <c r="A9" s="16">
        <v>8</v>
      </c>
      <c r="B9" s="17" t="s">
        <v>3</v>
      </c>
      <c r="C9" s="17" t="s">
        <v>21</v>
      </c>
      <c r="D9" s="18">
        <v>1.25</v>
      </c>
      <c r="E9" s="17" t="s">
        <v>46</v>
      </c>
      <c r="F9" s="17" t="s">
        <v>43</v>
      </c>
      <c r="G9" s="19">
        <f t="shared" si="0"/>
        <v>106250</v>
      </c>
      <c r="I9" s="7" t="s">
        <v>51</v>
      </c>
      <c r="J9" s="5">
        <v>42</v>
      </c>
    </row>
    <row r="10" spans="1:11" ht="20.100000000000001" customHeight="1" x14ac:dyDescent="0.3">
      <c r="A10" s="16">
        <v>9</v>
      </c>
      <c r="B10" s="17" t="s">
        <v>3</v>
      </c>
      <c r="C10" s="17" t="s">
        <v>22</v>
      </c>
      <c r="D10" s="18">
        <v>1.5</v>
      </c>
      <c r="E10" s="17" t="s">
        <v>48</v>
      </c>
      <c r="F10" s="17" t="s">
        <v>43</v>
      </c>
      <c r="G10" s="23">
        <f t="shared" si="0"/>
        <v>127500</v>
      </c>
    </row>
    <row r="11" spans="1:11" ht="20.100000000000001" customHeight="1" x14ac:dyDescent="0.3">
      <c r="A11" s="24">
        <v>10</v>
      </c>
      <c r="B11" s="25" t="s">
        <v>3</v>
      </c>
      <c r="C11" s="25" t="s">
        <v>23</v>
      </c>
      <c r="D11" s="26">
        <v>1.5</v>
      </c>
      <c r="E11" s="25"/>
      <c r="F11" s="13" t="s">
        <v>42</v>
      </c>
      <c r="G11" s="27">
        <f t="shared" si="0"/>
        <v>127500</v>
      </c>
      <c r="I11" s="2" t="s">
        <v>52</v>
      </c>
      <c r="J11" t="s">
        <v>53</v>
      </c>
      <c r="K11"/>
    </row>
    <row r="12" spans="1:11" ht="20.100000000000001" customHeight="1" x14ac:dyDescent="0.3">
      <c r="A12" s="16">
        <v>11</v>
      </c>
      <c r="B12" s="17" t="s">
        <v>4</v>
      </c>
      <c r="C12" s="17" t="s">
        <v>24</v>
      </c>
      <c r="D12" s="18">
        <v>1</v>
      </c>
      <c r="E12" s="17" t="s">
        <v>45</v>
      </c>
      <c r="F12" s="17" t="s">
        <v>43</v>
      </c>
      <c r="G12" s="19">
        <f t="shared" si="0"/>
        <v>85000</v>
      </c>
      <c r="I12" s="3" t="s">
        <v>48</v>
      </c>
      <c r="J12">
        <v>3.5</v>
      </c>
      <c r="K12"/>
    </row>
    <row r="13" spans="1:11" ht="20.100000000000001" customHeight="1" x14ac:dyDescent="0.3">
      <c r="A13" s="24">
        <v>12</v>
      </c>
      <c r="B13" s="25" t="s">
        <v>5</v>
      </c>
      <c r="C13" s="25" t="s">
        <v>25</v>
      </c>
      <c r="D13" s="26">
        <v>1.75</v>
      </c>
      <c r="E13" s="25"/>
      <c r="F13" s="13" t="s">
        <v>42</v>
      </c>
      <c r="G13" s="27">
        <f t="shared" si="0"/>
        <v>148750</v>
      </c>
      <c r="I13" s="4" t="s">
        <v>43</v>
      </c>
      <c r="J13">
        <v>3.5</v>
      </c>
      <c r="K13"/>
    </row>
    <row r="14" spans="1:11" ht="20.100000000000001" customHeight="1" x14ac:dyDescent="0.3">
      <c r="A14" s="16">
        <v>13</v>
      </c>
      <c r="B14" s="17" t="s">
        <v>5</v>
      </c>
      <c r="C14" s="17" t="s">
        <v>26</v>
      </c>
      <c r="D14" s="18">
        <v>1.25</v>
      </c>
      <c r="E14" s="17" t="s">
        <v>47</v>
      </c>
      <c r="F14" s="17" t="s">
        <v>43</v>
      </c>
      <c r="G14" s="19">
        <f t="shared" si="0"/>
        <v>106250</v>
      </c>
      <c r="I14" s="3" t="s">
        <v>45</v>
      </c>
      <c r="J14">
        <v>5.25</v>
      </c>
      <c r="K14"/>
    </row>
    <row r="15" spans="1:11" ht="20.100000000000001" customHeight="1" x14ac:dyDescent="0.3">
      <c r="A15" s="28">
        <v>14</v>
      </c>
      <c r="B15" s="29" t="s">
        <v>4</v>
      </c>
      <c r="C15" s="29" t="s">
        <v>27</v>
      </c>
      <c r="D15" s="30">
        <v>1</v>
      </c>
      <c r="E15" s="29" t="s">
        <v>47</v>
      </c>
      <c r="F15" s="29" t="s">
        <v>42</v>
      </c>
      <c r="G15" s="27">
        <f t="shared" si="0"/>
        <v>85000</v>
      </c>
      <c r="I15" s="4" t="s">
        <v>43</v>
      </c>
      <c r="J15">
        <v>3.75</v>
      </c>
      <c r="K15"/>
    </row>
    <row r="16" spans="1:11" ht="20.100000000000001" customHeight="1" x14ac:dyDescent="0.3">
      <c r="A16" s="20">
        <v>15</v>
      </c>
      <c r="B16" s="21" t="s">
        <v>4</v>
      </c>
      <c r="C16" s="21" t="s">
        <v>28</v>
      </c>
      <c r="D16" s="22">
        <v>1</v>
      </c>
      <c r="E16" s="21" t="s">
        <v>46</v>
      </c>
      <c r="F16" s="21" t="s">
        <v>44</v>
      </c>
      <c r="G16" s="23">
        <f t="shared" si="0"/>
        <v>85000</v>
      </c>
      <c r="I16" s="4" t="s">
        <v>55</v>
      </c>
      <c r="J16">
        <v>1.5</v>
      </c>
      <c r="K16"/>
    </row>
    <row r="17" spans="1:11" ht="20.100000000000001" customHeight="1" x14ac:dyDescent="0.3">
      <c r="A17" s="24">
        <v>16</v>
      </c>
      <c r="B17" s="25" t="s">
        <v>3</v>
      </c>
      <c r="C17" s="25" t="s">
        <v>29</v>
      </c>
      <c r="D17" s="26">
        <v>1.75</v>
      </c>
      <c r="E17" s="25"/>
      <c r="F17" s="13" t="s">
        <v>42</v>
      </c>
      <c r="G17" s="27">
        <f t="shared" si="0"/>
        <v>148750</v>
      </c>
      <c r="I17" s="3" t="s">
        <v>46</v>
      </c>
      <c r="J17">
        <v>9.25</v>
      </c>
      <c r="K17"/>
    </row>
    <row r="18" spans="1:11" ht="20.100000000000001" customHeight="1" x14ac:dyDescent="0.3">
      <c r="A18" s="16">
        <v>17</v>
      </c>
      <c r="B18" s="17" t="s">
        <v>3</v>
      </c>
      <c r="C18" s="17" t="s">
        <v>30</v>
      </c>
      <c r="D18" s="18">
        <v>1.25</v>
      </c>
      <c r="E18" s="17" t="s">
        <v>46</v>
      </c>
      <c r="F18" s="17" t="s">
        <v>43</v>
      </c>
      <c r="G18" s="19">
        <f t="shared" si="0"/>
        <v>106250</v>
      </c>
      <c r="I18" s="4" t="s">
        <v>43</v>
      </c>
      <c r="J18">
        <v>5.75</v>
      </c>
      <c r="K18"/>
    </row>
    <row r="19" spans="1:11" ht="20.100000000000001" customHeight="1" x14ac:dyDescent="0.3">
      <c r="A19" s="16">
        <v>19</v>
      </c>
      <c r="B19" s="17"/>
      <c r="C19" s="17" t="s">
        <v>32</v>
      </c>
      <c r="D19" s="18">
        <v>2</v>
      </c>
      <c r="E19" s="17" t="s">
        <v>48</v>
      </c>
      <c r="F19" s="17" t="s">
        <v>43</v>
      </c>
      <c r="G19" s="23">
        <f t="shared" si="0"/>
        <v>170000</v>
      </c>
      <c r="I19" s="4" t="s">
        <v>44</v>
      </c>
      <c r="J19">
        <v>3.5</v>
      </c>
      <c r="K19"/>
    </row>
    <row r="20" spans="1:11" ht="20.100000000000001" customHeight="1" x14ac:dyDescent="0.3">
      <c r="A20" s="20">
        <v>18</v>
      </c>
      <c r="B20" s="31" t="s">
        <v>5</v>
      </c>
      <c r="C20" s="21" t="s">
        <v>31</v>
      </c>
      <c r="D20" s="32">
        <v>1.5</v>
      </c>
      <c r="E20" s="21" t="s">
        <v>46</v>
      </c>
      <c r="F20" s="21" t="s">
        <v>44</v>
      </c>
      <c r="G20" s="23"/>
      <c r="I20" s="3" t="s">
        <v>47</v>
      </c>
      <c r="J20">
        <v>10.75</v>
      </c>
      <c r="K20"/>
    </row>
    <row r="21" spans="1:11" ht="20.100000000000001" customHeight="1" x14ac:dyDescent="0.3">
      <c r="A21" s="20">
        <v>20</v>
      </c>
      <c r="B21" s="31"/>
      <c r="C21" s="31" t="s">
        <v>6</v>
      </c>
      <c r="D21" s="32">
        <v>1</v>
      </c>
      <c r="E21" s="21" t="s">
        <v>46</v>
      </c>
      <c r="F21" s="21" t="s">
        <v>44</v>
      </c>
      <c r="G21" s="23"/>
      <c r="I21" s="4" t="s">
        <v>42</v>
      </c>
      <c r="J21">
        <v>1</v>
      </c>
      <c r="K21"/>
    </row>
    <row r="22" spans="1:11" ht="20.100000000000001" customHeight="1" x14ac:dyDescent="0.3">
      <c r="A22" s="16">
        <v>21</v>
      </c>
      <c r="B22" s="33"/>
      <c r="C22" s="33" t="s">
        <v>7</v>
      </c>
      <c r="D22" s="34">
        <v>1</v>
      </c>
      <c r="E22" s="33" t="s">
        <v>46</v>
      </c>
      <c r="F22" s="17" t="s">
        <v>43</v>
      </c>
      <c r="G22" s="19"/>
      <c r="I22" s="4" t="s">
        <v>43</v>
      </c>
      <c r="J22">
        <v>1.25</v>
      </c>
      <c r="K22"/>
    </row>
    <row r="23" spans="1:11" ht="20.100000000000001" customHeight="1" x14ac:dyDescent="0.3">
      <c r="A23" s="35">
        <v>22</v>
      </c>
      <c r="B23" s="36" t="s">
        <v>3</v>
      </c>
      <c r="C23" s="36" t="s">
        <v>8</v>
      </c>
      <c r="D23" s="37">
        <v>1.5</v>
      </c>
      <c r="E23" s="36" t="s">
        <v>45</v>
      </c>
      <c r="F23" s="36" t="s">
        <v>55</v>
      </c>
      <c r="G23" s="27"/>
      <c r="I23" s="4" t="s">
        <v>44</v>
      </c>
      <c r="J23">
        <v>8.5</v>
      </c>
      <c r="K23"/>
    </row>
    <row r="24" spans="1:11" ht="20.100000000000001" customHeight="1" x14ac:dyDescent="0.3">
      <c r="A24" s="16">
        <v>23</v>
      </c>
      <c r="B24" s="33"/>
      <c r="C24" s="33" t="s">
        <v>33</v>
      </c>
      <c r="D24" s="34">
        <v>1</v>
      </c>
      <c r="E24" s="33" t="s">
        <v>46</v>
      </c>
      <c r="F24" s="17" t="s">
        <v>43</v>
      </c>
      <c r="G24" s="19"/>
      <c r="I24" s="3" t="s">
        <v>50</v>
      </c>
      <c r="J24">
        <v>13.25</v>
      </c>
      <c r="K24"/>
    </row>
    <row r="25" spans="1:11" ht="20.100000000000001" customHeight="1" x14ac:dyDescent="0.3">
      <c r="A25" s="38">
        <v>24</v>
      </c>
      <c r="B25" s="39"/>
      <c r="C25" s="39" t="s">
        <v>9</v>
      </c>
      <c r="D25" s="40">
        <v>1</v>
      </c>
      <c r="E25" s="39" t="s">
        <v>47</v>
      </c>
      <c r="F25" s="21" t="s">
        <v>44</v>
      </c>
      <c r="G25" s="27"/>
      <c r="I25" s="4" t="s">
        <v>42</v>
      </c>
      <c r="J25">
        <v>8.25</v>
      </c>
      <c r="K25"/>
    </row>
    <row r="26" spans="1:11" ht="20.100000000000001" customHeight="1" x14ac:dyDescent="0.3">
      <c r="A26" s="38">
        <v>25</v>
      </c>
      <c r="B26" s="39"/>
      <c r="C26" s="39" t="s">
        <v>34</v>
      </c>
      <c r="D26" s="40">
        <v>1.25</v>
      </c>
      <c r="E26" s="39" t="s">
        <v>47</v>
      </c>
      <c r="F26" s="21" t="s">
        <v>44</v>
      </c>
      <c r="G26" s="27"/>
      <c r="I26" s="4" t="s">
        <v>50</v>
      </c>
      <c r="J26">
        <v>5</v>
      </c>
      <c r="K26"/>
    </row>
    <row r="27" spans="1:11" ht="20.100000000000001" customHeight="1" x14ac:dyDescent="0.3">
      <c r="A27" s="41">
        <v>26</v>
      </c>
      <c r="B27" s="41"/>
      <c r="C27" s="36" t="s">
        <v>10</v>
      </c>
      <c r="D27" s="42">
        <v>1</v>
      </c>
      <c r="E27" s="36"/>
      <c r="F27" s="36"/>
      <c r="G27" s="15"/>
      <c r="I27" s="3" t="s">
        <v>51</v>
      </c>
      <c r="J27">
        <v>42</v>
      </c>
      <c r="K27"/>
    </row>
    <row r="28" spans="1:11" ht="20.100000000000001" customHeight="1" x14ac:dyDescent="0.3">
      <c r="A28" s="41">
        <v>27</v>
      </c>
      <c r="B28" s="41"/>
      <c r="C28" s="41" t="s">
        <v>35</v>
      </c>
      <c r="D28" s="42">
        <v>1.25</v>
      </c>
      <c r="E28" s="41"/>
      <c r="F28" s="41"/>
      <c r="G28" s="15"/>
      <c r="I28"/>
      <c r="J28"/>
      <c r="K28"/>
    </row>
    <row r="29" spans="1:11" ht="20.100000000000001" customHeight="1" x14ac:dyDescent="0.3">
      <c r="A29" s="43">
        <v>28</v>
      </c>
      <c r="B29" s="43"/>
      <c r="C29" s="43" t="s">
        <v>11</v>
      </c>
      <c r="D29" s="44">
        <v>1.25</v>
      </c>
      <c r="E29" s="43" t="s">
        <v>47</v>
      </c>
      <c r="F29" s="21" t="s">
        <v>44</v>
      </c>
      <c r="G29" s="15"/>
    </row>
    <row r="30" spans="1:11" ht="20.100000000000001" customHeight="1" x14ac:dyDescent="0.3">
      <c r="A30" s="43">
        <v>29</v>
      </c>
      <c r="B30" s="45"/>
      <c r="C30" s="43" t="s">
        <v>36</v>
      </c>
      <c r="D30" s="46">
        <v>1</v>
      </c>
      <c r="E30" s="43" t="s">
        <v>47</v>
      </c>
      <c r="F30" s="21" t="s">
        <v>44</v>
      </c>
      <c r="G30" s="15"/>
    </row>
    <row r="31" spans="1:11" ht="20.100000000000001" customHeight="1" x14ac:dyDescent="0.3">
      <c r="A31" s="43">
        <v>30</v>
      </c>
      <c r="B31" s="45"/>
      <c r="C31" s="43" t="s">
        <v>37</v>
      </c>
      <c r="D31" s="46">
        <v>1.5</v>
      </c>
      <c r="E31" s="43" t="s">
        <v>47</v>
      </c>
      <c r="F31" s="21" t="s">
        <v>44</v>
      </c>
      <c r="G31" s="15"/>
    </row>
    <row r="32" spans="1:11" ht="20.100000000000001" customHeight="1" x14ac:dyDescent="0.3">
      <c r="A32" s="41">
        <v>31</v>
      </c>
      <c r="B32" s="45"/>
      <c r="C32" s="41" t="s">
        <v>38</v>
      </c>
      <c r="D32" s="47">
        <v>0.75</v>
      </c>
      <c r="E32" s="41"/>
      <c r="F32" s="41"/>
      <c r="G32" s="15"/>
    </row>
    <row r="33" spans="1:7" ht="20.100000000000001" customHeight="1" x14ac:dyDescent="0.3">
      <c r="A33" s="41">
        <v>32</v>
      </c>
      <c r="B33" s="45"/>
      <c r="C33" s="41" t="s">
        <v>39</v>
      </c>
      <c r="D33" s="47">
        <v>0.75</v>
      </c>
      <c r="E33" s="41"/>
      <c r="F33" s="41"/>
      <c r="G33" s="15"/>
    </row>
    <row r="34" spans="1:7" ht="20.100000000000001" customHeight="1" x14ac:dyDescent="0.3">
      <c r="A34" s="48">
        <v>33</v>
      </c>
      <c r="B34" s="49"/>
      <c r="C34" s="48" t="s">
        <v>54</v>
      </c>
      <c r="D34" s="50">
        <v>1.25</v>
      </c>
      <c r="E34" s="48"/>
      <c r="F34" s="48"/>
      <c r="G34" s="15"/>
    </row>
    <row r="35" spans="1:7" ht="20.100000000000001" customHeight="1" x14ac:dyDescent="0.3">
      <c r="A35" s="45"/>
      <c r="B35" s="45"/>
      <c r="C35" s="45" t="s">
        <v>40</v>
      </c>
      <c r="D35" s="47">
        <f>SUM(D2:D34)</f>
        <v>42</v>
      </c>
      <c r="E35" s="45"/>
      <c r="F35" s="45"/>
      <c r="G35" s="15">
        <f>(85000*D35)</f>
        <v>3570000</v>
      </c>
    </row>
    <row r="38" spans="1:7" ht="20.100000000000001" customHeight="1" x14ac:dyDescent="0.2">
      <c r="D38" s="5"/>
    </row>
    <row r="39" spans="1:7" ht="20.100000000000001" customHeight="1" x14ac:dyDescent="0.2">
      <c r="D39" s="5"/>
    </row>
    <row r="40" spans="1:7" ht="20.100000000000001" customHeight="1" x14ac:dyDescent="0.2">
      <c r="D40" s="5"/>
    </row>
    <row r="41" spans="1:7" ht="20.100000000000001" customHeight="1" x14ac:dyDescent="0.2">
      <c r="D41" s="5"/>
    </row>
    <row r="42" spans="1:7" ht="20.100000000000001" customHeight="1" x14ac:dyDescent="0.2">
      <c r="D42" s="5"/>
    </row>
    <row r="43" spans="1:7" ht="20.100000000000001" customHeight="1" x14ac:dyDescent="0.2">
      <c r="D43" s="5"/>
    </row>
    <row r="44" spans="1:7" ht="20.100000000000001" customHeight="1" x14ac:dyDescent="0.2">
      <c r="D44" s="5"/>
    </row>
    <row r="45" spans="1:7" ht="20.100000000000001" customHeight="1" x14ac:dyDescent="0.2">
      <c r="D45" s="5"/>
    </row>
    <row r="46" spans="1:7" ht="20.100000000000001" customHeight="1" x14ac:dyDescent="0.2">
      <c r="D46" s="5"/>
    </row>
    <row r="47" spans="1:7" ht="20.100000000000001" customHeight="1" x14ac:dyDescent="0.2">
      <c r="D47" s="5"/>
    </row>
    <row r="48" spans="1:7" ht="20.100000000000001" customHeight="1" x14ac:dyDescent="0.2">
      <c r="D48" s="5"/>
    </row>
  </sheetData>
  <autoFilter ref="A1:F35" xr:uid="{942112D5-A2D0-4954-AC5E-BF5A19896C56}"/>
  <printOptions horizontalCentered="1" gridLines="1"/>
  <pageMargins left="0.25" right="0.25" top="0.75" bottom="0.75" header="0" footer="0"/>
  <pageSetup paperSize="9" scale="71" fitToHeight="0" pageOrder="overThenDown" orientation="portrait" cellComments="atEnd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IRIS Payment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Department</dc:creator>
  <cp:lastModifiedBy>saiful</cp:lastModifiedBy>
  <cp:lastPrinted>2025-11-20T13:17:46Z</cp:lastPrinted>
  <dcterms:created xsi:type="dcterms:W3CDTF">2025-11-20T12:17:51Z</dcterms:created>
  <dcterms:modified xsi:type="dcterms:W3CDTF">2026-01-30T06:35:17Z</dcterms:modified>
</cp:coreProperties>
</file>